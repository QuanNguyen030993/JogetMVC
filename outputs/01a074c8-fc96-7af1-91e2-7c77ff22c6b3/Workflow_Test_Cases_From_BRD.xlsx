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f2684ad52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b58e7b1159f49dc"/>
    <x:sheet xmlns:r="http://schemas.openxmlformats.org/officeDocument/2006/relationships" name="E2E Happy Path" sheetId="2" r:id="R1e8ba255eda742ec"/>
    <x:sheet xmlns:r="http://schemas.openxmlformats.org/officeDocument/2006/relationships" name="Scenario Catalog" sheetId="3" r:id="Rfcfdb6d43f4748b2"/>
    <x:sheet xmlns:r="http://schemas.openxmlformats.org/officeDocument/2006/relationships" name="Assign Accept" sheetId="4" r:id="Rbfb7981ed5b24d9a"/>
    <x:sheet xmlns:r="http://schemas.openxmlformats.org/officeDocument/2006/relationships" name="Quotation Exceptions" sheetId="5" r:id="Rb8c9727e12574122"/>
    <x:sheet xmlns:r="http://schemas.openxmlformats.org/officeDocument/2006/relationships" name="Policy Exceptions" sheetId="6" r:id="Rebff7f121aff4eae"/>
    <x:sheet xmlns:r="http://schemas.openxmlformats.org/officeDocument/2006/relationships" name="DB Checks" sheetId="7" r:id="R17595076e083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000000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1"/>
      <x:color rgb="FF000000"/>
      <x:name val="Arial"/>
    </x:font>
    <x:font>
      <x:b/>
      <x:sz val="10"/>
      <x:color rgb="FF202124"/>
      <x:name val="Arial"/>
    </x:font>
    <x:font>
      <x:sz val="9"/>
      <x:color rgb="FF202124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</x:fills>
  <x:borders count="1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4" fillId="4" borderId="3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4B183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4B183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4B183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4B183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9d9104b78413c" /><Relationship Type="http://schemas.openxmlformats.org/officeDocument/2006/relationships/theme" Target="/xl/theme/theme1.xml" Id="R4ddf7850df7340d5" /><Relationship Type="http://schemas.openxmlformats.org/officeDocument/2006/relationships/sharedStrings" Target="/xl/sharedStrings.xml" Id="Ra03262998a714ab2" /><Relationship Type="http://schemas.openxmlformats.org/officeDocument/2006/relationships/worksheet" Target="/xl/worksheets/sheet1.xml" Id="R0b58e7b1159f49dc" /><Relationship Type="http://schemas.openxmlformats.org/officeDocument/2006/relationships/worksheet" Target="/xl/worksheets/sheet2.xml" Id="R1e8ba255eda742ec" /><Relationship Type="http://schemas.openxmlformats.org/officeDocument/2006/relationships/worksheet" Target="/xl/worksheets/sheet3.xml" Id="Rfcfdb6d43f4748b2" /><Relationship Type="http://schemas.openxmlformats.org/officeDocument/2006/relationships/worksheet" Target="/xl/worksheets/sheet4.xml" Id="Rbfb7981ed5b24d9a" /><Relationship Type="http://schemas.openxmlformats.org/officeDocument/2006/relationships/worksheet" Target="/xl/worksheets/sheet5.xml" Id="Rb8c9727e12574122" /><Relationship Type="http://schemas.openxmlformats.org/officeDocument/2006/relationships/worksheet" Target="/xl/worksheets/sheet6.xml" Id="Rebff7f121aff4eae" /><Relationship Type="http://schemas.openxmlformats.org/officeDocument/2006/relationships/worksheet" Target="/xl/worksheets/sheet7.xml" Id="R17595076e083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1.600000381469727" hidden="0" customHeight="1">
      <x:c r="A1" s="2" t="str">
        <x:v>Workflow Test Case Catalog</x:v>
      </x:c>
    </x:row>
    <x:row r="2" ht="15" hidden="0" customHeight="1">
      <x:c r="A2" s="5" t="str">
        <x:v>Phạm vi từ Quotation đến Policy Issuance theo BRD Workflow Management</x:v>
      </x:c>
    </x:row>
    <x:row r="3" ht="15" hidden="0" customHeight="1">
      <x:c r="A3" s="6"/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12" t="str">
        <x:v>Total Cases</x:v>
      </x:c>
      <x:c r="B5" s="12" t="str">
        <x:v>Happy Cases</x:v>
      </x:c>
      <x:c r="C5" s="12" t="str">
        <x:v>Assign Accept</x:v>
      </x:c>
      <x:c r="D5" s="12" t="str">
        <x:v>Quotation Exceptions</x:v>
      </x:c>
      <x:c r="E5" s="12" t="str">
        <x:v>Policy Exceptions</x:v>
      </x:c>
      <x:c r="F5" s="12" t="str">
        <x:v>Need Confirmation</x:v>
      </x:c>
      <x:c r="G5" s="12" t="str">
        <x:v>Pass</x:v>
      </x:c>
      <x:c r="H5" s="12" t="str">
        <x:v>Fail or Blocked</x:v>
      </x:c>
    </x:row>
    <x:row r="6" ht="15" hidden="0" customHeight="1">
      <x:c r="A6" s="17" t="n">
        <x:f>COUNTA('Scenario Catalog'!A6:A90)</x:f>
        <x:v>85</x:v>
      </x:c>
      <x:c r="B6" s="17" t="n">
        <x:f>COUNTA('Scenario Catalog'!A6:A17)</x:f>
        <x:v>12</x:v>
      </x:c>
      <x:c r="C6" s="17" t="n">
        <x:f>COUNTA('Scenario Catalog'!A18:A33)</x:f>
        <x:v>16</x:v>
      </x:c>
      <x:c r="D6" s="17" t="n">
        <x:f>COUNTA('Scenario Catalog'!A34:A57)</x:f>
        <x:v>24</x:v>
      </x:c>
      <x:c r="E6" s="17" t="n">
        <x:f>COUNTA('Scenario Catalog'!A58:A90)</x:f>
        <x:v>33</x:v>
      </x:c>
      <x:c r="F6" s="17" t="n">
        <x:f>COUNTIF('Scenario Catalog'!F6:F90,"Need Confirmation")</x:f>
        <x:v>3</x:v>
      </x:c>
      <x:c r="G6" s="17" t="n">
        <x:f>COUNTIF('Scenario Catalog'!H6:H90,"Pass")</x:f>
        <x:v>0</x:v>
      </x:c>
      <x:c r="H6" s="17" t="n">
        <x:f>COUNTIF('Scenario Catalog'!H6:H90,"Fail")+COUNTIF('Scenario Catalog'!H6:H90,"Blocked")</x:f>
        <x:v>0</x:v>
      </x:c>
    </x:row>
    <x:row r="7"/>
    <x:row r="8" ht="15" hidden="0" customHeight="1">
      <x:c r="A8" s="20" t="str">
        <x:v>Cấu trúc workbook</x:v>
      </x:c>
      <x:c r="B8" s="21"/>
      <x:c r="C8" s="21"/>
      <x:c r="D8" s="21"/>
      <x:c r="E8" s="21"/>
      <x:c r="F8" s="21"/>
      <x:c r="G8" s="21"/>
      <x:c r="H8" s="22"/>
    </x:row>
    <x:row r="9" ht="15" hidden="0" customHeight="1">
      <x:c r="A9" s="24" t="str">
        <x:v>E2E Happy Path</x:v>
      </x:c>
      <x:c r="B9" s="16" t="str">
        <x:v>30 bước từ tạo quotation đến hoàn tất policy.</x:v>
      </x:c>
      <x:c r="C9" s="16"/>
      <x:c r="D9" s="16"/>
      <x:c r="E9" s="16"/>
      <x:c r="F9" s="16"/>
      <x:c r="G9" s="16"/>
      <x:c r="H9" s="16"/>
    </x:row>
    <x:row r="10" ht="15" hidden="0" customHeight="1">
      <x:c r="A10" s="24" t="str">
        <x:v>Scenario Catalog</x:v>
      </x:c>
      <x:c r="B10" s="16" t="str">
        <x:v>Danh mục toàn bộ happy, assign/accept và exception cases.</x:v>
      </x:c>
      <x:c r="C10" s="16"/>
      <x:c r="D10" s="16"/>
      <x:c r="E10" s="16"/>
      <x:c r="F10" s="16"/>
      <x:c r="G10" s="16"/>
      <x:c r="H10" s="16"/>
    </x:row>
    <x:row r="11" ht="15" hidden="0" customHeight="1">
      <x:c r="A11" s="24" t="str">
        <x:v>Assign Accept</x:v>
      </x:c>
      <x:c r="B11" s="16" t="str">
        <x:v>Các trường hợp routing, quyền, concurrency và TAT.</x:v>
      </x:c>
      <x:c r="C11" s="16"/>
      <x:c r="D11" s="16"/>
      <x:c r="E11" s="16"/>
      <x:c r="F11" s="16"/>
      <x:c r="G11" s="16"/>
      <x:c r="H11" s="16"/>
    </x:row>
    <x:row r="12" ht="15" hidden="0" customHeight="1">
      <x:c r="A12" s="24" t="str">
        <x:v>Quotation Exceptions</x:v>
      </x:c>
      <x:c r="B12" s="16" t="str">
        <x:v>Return, revise, cancel, decline, chữ ký và attachment.</x:v>
      </x:c>
      <x:c r="C12" s="16"/>
      <x:c r="D12" s="16"/>
      <x:c r="E12" s="16"/>
      <x:c r="F12" s="16"/>
      <x:c r="G12" s="16"/>
      <x:c r="H12" s="16"/>
    </x:row>
    <x:row r="13" ht="15" hidden="0" customHeight="1">
      <x:c r="A13" s="24" t="str">
        <x:v>Policy Exceptions</x:v>
      </x:c>
      <x:c r="B13" s="16" t="str">
        <x:v>Return, withdraw, cancel, checklist, Core PA và follow-up.</x:v>
      </x:c>
      <x:c r="C13" s="16"/>
      <x:c r="D13" s="16"/>
      <x:c r="E13" s="16"/>
      <x:c r="F13" s="16"/>
      <x:c r="G13" s="16"/>
      <x:c r="H13" s="16"/>
    </x:row>
    <x:row r="14" ht="15" hidden="0" customHeight="1">
      <x:c r="A14" s="24" t="str">
        <x:v>DB Checks</x:v>
      </x:c>
      <x:c r="B14" s="16" t="str">
        <x:v>Truy vấn cột cần thiết và các điểm cần Business xác nhận.</x:v>
      </x:c>
      <x:c r="C14" s="16"/>
      <x:c r="D14" s="16"/>
      <x:c r="E14" s="16"/>
      <x:c r="F14" s="16"/>
      <x:c r="G14" s="16"/>
      <x:c r="H14" s="16"/>
    </x:row>
    <x:row r="15"/>
    <x:row r="16" ht="15" hidden="0" customHeight="1">
      <x:c r="A16" s="20" t="str">
        <x:v>Nguồn</x:v>
      </x:c>
      <x:c r="B16" s="21"/>
      <x:c r="C16" s="21"/>
      <x:c r="D16" s="21"/>
      <x:c r="E16" s="21"/>
      <x:c r="F16" s="21"/>
      <x:c r="G16" s="21"/>
      <x:c r="H16" s="22"/>
    </x:row>
    <x:row r="17">
      <x:c r="A17" s="37" t="str">
        <x:v>BRD Workflow Managermentt v1.0 3 updated.docx; source workflow; dữ liệu WorkflowManagementv2. Các case Need Confirmation là điểm BRD chưa xác định đủ quy tắc xử lý.</x:v>
      </x:c>
      <x:c r="B17" s="38"/>
      <x:c r="C17" s="38"/>
      <x:c r="D17" s="38"/>
      <x:c r="E17" s="38"/>
      <x:c r="F17" s="38"/>
      <x:c r="G17" s="38"/>
      <x:c r="H17" s="39"/>
    </x:row>
    <x:row r="18">
      <x:c r="A18" s="40"/>
      <x:c r="B18" s="41"/>
      <x:c r="C18" s="41"/>
      <x:c r="D18" s="41"/>
      <x:c r="E18" s="41"/>
      <x:c r="F18" s="41"/>
      <x:c r="G18" s="41"/>
      <x:c r="H18" s="42"/>
    </x:row>
    <x:row r="19"/>
    <x:row r="20"/>
  </x:sheetData>
  <x:mergeCells>
    <x:mergeCell ref="A1:H1"/>
    <x:mergeCell ref="A2:H2"/>
    <x:mergeCell ref="A8:H8"/>
    <x:mergeCell ref="B9:H9"/>
    <x:mergeCell ref="B10:H10"/>
    <x:mergeCell ref="B11:H11"/>
    <x:mergeCell ref="B12:H12"/>
    <x:mergeCell ref="B13:H13"/>
    <x:mergeCell ref="B14:H14"/>
    <x:mergeCell ref="A16:H16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18" hidden="0" customWidth="1"/>
    <x:col min="5" max="5" width="44" hidden="0" customWidth="1"/>
    <x:col min="6" max="6" width="52" hidden="0" customWidth="1"/>
    <x:col min="7" max="7" width="27" hidden="0" customWidth="1"/>
    <x:col min="8" max="8" width="28" hidden="0" customWidth="1"/>
    <x:col min="9" max="9" width="14" hidden="0" customWidth="1"/>
  </x:cols>
  <x:sheetData>
    <x:row r="1" ht="28" customHeight="1">
      <x:c r="A1" s="2" t="str">
        <x:v>E2E Happy Path</x:v>
      </x:c>
    </x:row>
    <x:row r="2" ht="26" customHeight="1">
      <x:c r="A2" s="5" t="str">
        <x:v>Full path có TS, UW approval, LMKT ký và Policy follow-up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Step</x:v>
      </x:c>
      <x:c r="B5" s="12" t="str">
        <x:v>Phase</x:v>
      </x:c>
      <x:c r="C5" s="12" t="str">
        <x:v>Role</x:v>
      </x:c>
      <x:c r="D5" s="12" t="str">
        <x:v>Action Type</x:v>
      </x:c>
      <x:c r="E5" s="12" t="str">
        <x:v>Action</x:v>
      </x:c>
      <x:c r="F5" s="12" t="str">
        <x:v>Expected Result</x:v>
      </x:c>
      <x:c r="G5" s="12" t="str">
        <x:v>Expected Status</x:v>
      </x:c>
      <x:c r="H5" s="12" t="str">
        <x:v>Action Code</x:v>
      </x:c>
      <x:c r="I5" s="12" t="str">
        <x:v>Test Result</x:v>
      </x:c>
    </x:row>
    <x:row r="6" ht="44" customHeight="1">
      <x:c r="A6" s="43" t="n">
        <x:v>1</x:v>
      </x:c>
      <x:c r="B6" s="43" t="str">
        <x:v>Quotation</x:v>
      </x:c>
      <x:c r="C6" s="43" t="str">
        <x:v>FO</x:v>
      </x:c>
      <x:c r="D6" s="43" t="str">
        <x:v>Create</x:v>
      </x:c>
      <x:c r="E6" s="23" t="str">
        <x:v>Tạo quotation request và chọn New Business.</x:v>
      </x:c>
      <x:c r="F6" s="23" t="str">
        <x:v>Tạo một quotation record và workflow instance.</x:v>
      </x:c>
      <x:c r="G6" s="43" t="str">
        <x:v>Draft</x:v>
      </x:c>
      <x:c r="H6" s="43" t="str"/>
      <x:c r="I6" s="44" t="str">
        <x:v>Not Run</x:v>
      </x:c>
    </x:row>
    <x:row r="7" ht="44" customHeight="1">
      <x:c r="A7" s="17" t="n">
        <x:v>2</x:v>
      </x:c>
      <x:c r="B7" s="17" t="str">
        <x:v>Quotation</x:v>
      </x:c>
      <x:c r="C7" s="17" t="str">
        <x:v>FO</x:v>
      </x:c>
      <x:c r="D7" s="17" t="str">
        <x:v>Input</x:v>
      </x:c>
      <x:c r="E7" s="16" t="str">
        <x:v>Nhập dữ liệu và đính kèm request detail.</x:v>
      </x:c>
      <x:c r="F7" s="16" t="str">
        <x:v>Dữ liệu và attachment được lưu.</x:v>
      </x:c>
      <x:c r="G7" s="17" t="str">
        <x:v>FO Process</x:v>
      </x:c>
      <x:c r="H7" s="17" t="str"/>
      <x:c r="I7" s="44" t="str">
        <x:v>Not Run</x:v>
      </x:c>
    </x:row>
    <x:row r="8" ht="44" customHeight="1">
      <x:c r="A8" s="43" t="n">
        <x:v>3</x:v>
      </x:c>
      <x:c r="B8" s="43" t="str">
        <x:v>Quotation</x:v>
      </x:c>
      <x:c r="C8" s="43" t="str">
        <x:v>FO</x:v>
      </x:c>
      <x:c r="D8" s="43" t="str">
        <x:v>Assign</x:v>
      </x:c>
      <x:c r="E8" s="23" t="str">
        <x:v>Assign TS.</x:v>
      </x:c>
      <x:c r="F8" s="23" t="str">
        <x:v>TS nhận notification và task pending.</x:v>
      </x:c>
      <x:c r="G8" s="43" t="str">
        <x:v>TS Pending</x:v>
      </x:c>
      <x:c r="H8" s="43" t="str">
        <x:v>SUBMIT_MAIN_TS</x:v>
      </x:c>
      <x:c r="I8" s="44" t="str">
        <x:v>Not Run</x:v>
      </x:c>
    </x:row>
    <x:row r="9" ht="44" customHeight="1">
      <x:c r="A9" s="17" t="n">
        <x:v>4</x:v>
      </x:c>
      <x:c r="B9" s="17" t="str">
        <x:v>Quotation</x:v>
      </x:c>
      <x:c r="C9" s="17" t="str">
        <x:v>TS</x:v>
      </x:c>
      <x:c r="D9" s="17" t="str">
        <x:v>Accept</x:v>
      </x:c>
      <x:c r="E9" s="16" t="str">
        <x:v>Accept quotation task.</x:v>
      </x:c>
      <x:c r="F9" s="16" t="str">
        <x:v>Ghi owner và Accepted Date; bắt đầu TAT.</x:v>
      </x:c>
      <x:c r="G9" s="17" t="str">
        <x:v>TS Process</x:v>
      </x:c>
      <x:c r="H9" s="17" t="str"/>
      <x:c r="I9" s="44" t="str">
        <x:v>Not Run</x:v>
      </x:c>
    </x:row>
    <x:row r="10" ht="44" customHeight="1">
      <x:c r="A10" s="43" t="n">
        <x:v>5</x:v>
      </x:c>
      <x:c r="B10" s="43" t="str">
        <x:v>Quotation</x:v>
      </x:c>
      <x:c r="C10" s="43" t="str">
        <x:v>TS</x:v>
      </x:c>
      <x:c r="D10" s="43" t="str">
        <x:v>Process</x:v>
      </x:c>
      <x:c r="E10" s="23" t="str">
        <x:v>Nhập phí, tạo Q1 và đính kèm quotation document.</x:v>
      </x:c>
      <x:c r="F10" s="23" t="str">
        <x:v>Tạo đúng một quotation code và version.</x:v>
      </x:c>
      <x:c r="G10" s="43" t="str">
        <x:v>TS Process</x:v>
      </x:c>
      <x:c r="H10" s="43" t="str"/>
      <x:c r="I10" s="44" t="str">
        <x:v>Not Run</x:v>
      </x:c>
    </x:row>
    <x:row r="11" ht="44" customHeight="1">
      <x:c r="A11" s="17" t="n">
        <x:v>6</x:v>
      </x:c>
      <x:c r="B11" s="17" t="str">
        <x:v>Quotation</x:v>
      </x:c>
      <x:c r="C11" s="17" t="str">
        <x:v>TS</x:v>
      </x:c>
      <x:c r="D11" s="17" t="str">
        <x:v>Submit</x:v>
      </x:c>
      <x:c r="E11" s="16" t="str">
        <x:v>Submit quotation về FO.</x:v>
      </x:c>
      <x:c r="F11" s="16" t="str">
        <x:v>FO nhận task; TS Complete Date được ghi.</x:v>
      </x:c>
      <x:c r="G11" s="17" t="str">
        <x:v>FO Process</x:v>
      </x:c>
      <x:c r="H11" s="17" t="str">
        <x:v>SUBMIT_TS_FO</x:v>
      </x:c>
      <x:c r="I11" s="44" t="str">
        <x:v>Not Run</x:v>
      </x:c>
    </x:row>
    <x:row r="12" ht="44" customHeight="1">
      <x:c r="A12" s="43" t="n">
        <x:v>7</x:v>
      </x:c>
      <x:c r="B12" s="43" t="str">
        <x:v>Quotation</x:v>
      </x:c>
      <x:c r="C12" s="43" t="str">
        <x:v>FO</x:v>
      </x:c>
      <x:c r="D12" s="43" t="str">
        <x:v>Review</x:v>
      </x:c>
      <x:c r="E12" s="23" t="str">
        <x:v>Kiểm tra quotation và chọn Refer UW.</x:v>
      </x:c>
      <x:c r="F12" s="23" t="str">
        <x:v>Referral data được lưu.</x:v>
      </x:c>
      <x:c r="G12" s="43" t="str">
        <x:v>FO Process</x:v>
      </x:c>
      <x:c r="H12" s="43" t="str"/>
      <x:c r="I12" s="44" t="str">
        <x:v>Not Run</x:v>
      </x:c>
    </x:row>
    <x:row r="13" ht="44" customHeight="1">
      <x:c r="A13" s="17" t="n">
        <x:v>8</x:v>
      </x:c>
      <x:c r="B13" s="17" t="str">
        <x:v>Quotation</x:v>
      </x:c>
      <x:c r="C13" s="17" t="str">
        <x:v>FO</x:v>
      </x:c>
      <x:c r="D13" s="17" t="str">
        <x:v>Assign</x:v>
      </x:c>
      <x:c r="E13" s="16" t="str">
        <x:v>Submit referral sang UW.</x:v>
      </x:c>
      <x:c r="F13" s="16" t="str">
        <x:v>UW nhận notification và pending task.</x:v>
      </x:c>
      <x:c r="G13" s="17" t="str">
        <x:v>UW Pending</x:v>
      </x:c>
      <x:c r="H13" s="17" t="str">
        <x:v>Submit_FO_UW</x:v>
      </x:c>
      <x:c r="I13" s="44" t="str">
        <x:v>Not Run</x:v>
      </x:c>
    </x:row>
    <x:row r="14" ht="44" customHeight="1">
      <x:c r="A14" s="43" t="n">
        <x:v>9</x:v>
      </x:c>
      <x:c r="B14" s="43" t="str">
        <x:v>Quotation</x:v>
      </x:c>
      <x:c r="C14" s="43" t="str">
        <x:v>UW</x:v>
      </x:c>
      <x:c r="D14" s="43" t="str">
        <x:v>Accept</x:v>
      </x:c>
      <x:c r="E14" s="23" t="str">
        <x:v>Accept UW task.</x:v>
      </x:c>
      <x:c r="F14" s="23" t="str">
        <x:v>Ghi UW Accepted Date và bắt đầu UW TAT.</x:v>
      </x:c>
      <x:c r="G14" s="43" t="str">
        <x:v>UW Process</x:v>
      </x:c>
      <x:c r="H14" s="43" t="str"/>
      <x:c r="I14" s="44" t="str">
        <x:v>Not Run</x:v>
      </x:c>
    </x:row>
    <x:row r="15" ht="44" customHeight="1">
      <x:c r="A15" s="17" t="n">
        <x:v>10</x:v>
      </x:c>
      <x:c r="B15" s="17" t="str">
        <x:v>Quotation</x:v>
      </x:c>
      <x:c r="C15" s="17" t="str">
        <x:v>UW</x:v>
      </x:c>
      <x:c r="D15" s="17" t="str">
        <x:v>Decision</x:v>
      </x:c>
      <x:c r="E15" s="16" t="str">
        <x:v>Approve Risk và trả kết quả FO.</x:v>
      </x:c>
      <x:c r="F15" s="16" t="str">
        <x:v>Lưu quyết định, T&amp;C và lịch sử referral.</x:v>
      </x:c>
      <x:c r="G15" s="17" t="str">
        <x:v>FO Review</x:v>
      </x:c>
      <x:c r="H15" s="17" t="str"/>
      <x:c r="I15" s="44" t="str">
        <x:v>Not Run</x:v>
      </x:c>
    </x:row>
    <x:row r="16" ht="44" customHeight="1">
      <x:c r="A16" s="43" t="n">
        <x:v>11</x:v>
      </x:c>
      <x:c r="B16" s="43" t="str">
        <x:v>Quotation</x:v>
      </x:c>
      <x:c r="C16" s="43" t="str">
        <x:v>FO</x:v>
      </x:c>
      <x:c r="D16" s="43" t="str">
        <x:v>Review</x:v>
      </x:c>
      <x:c r="E16" s="23" t="str">
        <x:v>Áp dụng UW T&amp;C và review bản cuối.</x:v>
      </x:c>
      <x:c r="F16" s="23" t="str">
        <x:v>Quotation sẵn sàng trình ký.</x:v>
      </x:c>
      <x:c r="G16" s="43" t="str">
        <x:v>FO Review</x:v>
      </x:c>
      <x:c r="H16" s="43" t="str"/>
      <x:c r="I16" s="44" t="str">
        <x:v>Not Run</x:v>
      </x:c>
    </x:row>
    <x:row r="17" ht="44" customHeight="1">
      <x:c r="A17" s="17" t="n">
        <x:v>12</x:v>
      </x:c>
      <x:c r="B17" s="17" t="str">
        <x:v>Quotation</x:v>
      </x:c>
      <x:c r="C17" s="17" t="str">
        <x:v>FO</x:v>
      </x:c>
      <x:c r="D17" s="17" t="str">
        <x:v>Assign</x:v>
      </x:c>
      <x:c r="E17" s="16" t="str">
        <x:v>Gửi Asking Signature Approval sang LMKT.</x:v>
      </x:c>
      <x:c r="F17" s="16" t="str">
        <x:v>LMKT nhận task phê duyệt.</x:v>
      </x:c>
      <x:c r="G17" s="17" t="str">
        <x:v>MKT Review</x:v>
      </x:c>
      <x:c r="H17" s="17" t="str">
        <x:v>SUBMIT_FO_LMKT</x:v>
      </x:c>
      <x:c r="I17" s="44" t="str">
        <x:v>Not Run</x:v>
      </x:c>
    </x:row>
    <x:row r="18" ht="44" customHeight="1">
      <x:c r="A18" s="43" t="n">
        <x:v>13</x:v>
      </x:c>
      <x:c r="B18" s="43" t="str">
        <x:v>Quotation</x:v>
      </x:c>
      <x:c r="C18" s="43" t="str">
        <x:v>LMKT</x:v>
      </x:c>
      <x:c r="D18" s="43" t="str">
        <x:v>Approve Sign</x:v>
      </x:c>
      <x:c r="E18" s="23" t="str">
        <x:v>Approve và ký số quotation.</x:v>
      </x:c>
      <x:c r="F18" s="23" t="str">
        <x:v>Tạo bản ký đúng version.</x:v>
      </x:c>
      <x:c r="G18" s="43" t="str">
        <x:v>FO Review</x:v>
      </x:c>
      <x:c r="H18" s="43" t="str">
        <x:v>LMKT_APPROVED_FO</x:v>
      </x:c>
      <x:c r="I18" s="44" t="str">
        <x:v>Not Run</x:v>
      </x:c>
    </x:row>
    <x:row r="19" ht="44" customHeight="1">
      <x:c r="A19" s="17" t="n">
        <x:v>14</x:v>
      </x:c>
      <x:c r="B19" s="17" t="str">
        <x:v>Quotation</x:v>
      </x:c>
      <x:c r="C19" s="17" t="str">
        <x:v>FO</x:v>
      </x:c>
      <x:c r="D19" s="17" t="str">
        <x:v>Send</x:v>
      </x:c>
      <x:c r="E19" s="16" t="str">
        <x:v>Gửi quotation đã ký cho khách hàng.</x:v>
      </x:c>
      <x:c r="F19" s="16" t="str">
        <x:v>Email và attachment đúng; chờ phản hồi.</x:v>
      </x:c>
      <x:c r="G19" s="17" t="str">
        <x:v>Waiting Client Confirmation</x:v>
      </x:c>
      <x:c r="H19" s="17" t="str">
        <x:v>SEND_QUOTATION_CLIENT</x:v>
      </x:c>
      <x:c r="I19" s="44" t="str">
        <x:v>Not Run</x:v>
      </x:c>
    </x:row>
    <x:row r="20" ht="44" customHeight="1">
      <x:c r="A20" s="43" t="n">
        <x:v>15</x:v>
      </x:c>
      <x:c r="B20" s="43" t="str">
        <x:v>Quotation</x:v>
      </x:c>
      <x:c r="C20" s="43" t="str">
        <x:v>FO</x:v>
      </x:c>
      <x:c r="D20" s="43" t="str">
        <x:v>Confirm</x:v>
      </x:c>
      <x:c r="E20" s="23" t="str">
        <x:v>Ghi nhận khách hàng đồng ý và tải bản ký trả.</x:v>
      </x:c>
      <x:c r="F20" s="23" t="str">
        <x:v>Lưu confirmation attachment.</x:v>
      </x:c>
      <x:c r="G20" s="43" t="str">
        <x:v>Quotation Confirmed</x:v>
      </x:c>
      <x:c r="H20" s="43" t="str">
        <x:v>CLIENT_CONFIRMED</x:v>
      </x:c>
      <x:c r="I20" s="44" t="str">
        <x:v>Not Run</x:v>
      </x:c>
    </x:row>
    <x:row r="21" ht="44" customHeight="1">
      <x:c r="A21" s="17" t="n">
        <x:v>16</x:v>
      </x:c>
      <x:c r="B21" s="17" t="str">
        <x:v>Quotation</x:v>
      </x:c>
      <x:c r="C21" s="17" t="str">
        <x:v>System</x:v>
      </x:c>
      <x:c r="D21" s="17" t="str">
        <x:v>Complete</x:v>
      </x:c>
      <x:c r="E21" s="16" t="str">
        <x:v>Kết thúc quotation.</x:v>
      </x:c>
      <x:c r="F21" s="16" t="str">
        <x:v>CompletedDate có giá trị và không còn task mở.</x:v>
      </x:c>
      <x:c r="G21" s="17" t="str">
        <x:v>Completed</x:v>
      </x:c>
      <x:c r="H21" s="17" t="str"/>
      <x:c r="I21" s="44" t="str">
        <x:v>Not Run</x:v>
      </x:c>
    </x:row>
    <x:row r="22" ht="44" customHeight="1">
      <x:c r="A22" s="43" t="n">
        <x:v>17</x:v>
      </x:c>
      <x:c r="B22" s="43" t="str">
        <x:v>Policy Issuance</x:v>
      </x:c>
      <x:c r="C22" s="43" t="str">
        <x:v>FO</x:v>
      </x:c>
      <x:c r="D22" s="43" t="str">
        <x:v>Create</x:v>
      </x:c>
      <x:c r="E22" s="23" t="str">
        <x:v>Tạo PI từ quotation đã xác nhận.</x:v>
      </x:c>
      <x:c r="F22" s="23" t="str">
        <x:v>PI liên kết đúng quotation; không tạo trùng.</x:v>
      </x:c>
      <x:c r="G22" s="43" t="str">
        <x:v>FO Process</x:v>
      </x:c>
      <x:c r="H22" s="43" t="str">
        <x:v>START_FO</x:v>
      </x:c>
      <x:c r="I22" s="44" t="str">
        <x:v>Not Run</x:v>
      </x:c>
    </x:row>
    <x:row r="23" ht="44" customHeight="1">
      <x:c r="A23" s="17" t="n">
        <x:v>18</x:v>
      </x:c>
      <x:c r="B23" s="17" t="str">
        <x:v>Policy Issuance</x:v>
      </x:c>
      <x:c r="C23" s="17" t="str">
        <x:v>FO</x:v>
      </x:c>
      <x:c r="D23" s="17" t="str">
        <x:v>Assign</x:v>
      </x:c>
      <x:c r="E23" s="16" t="str">
        <x:v>Assign TS xử lý PI.</x:v>
      </x:c>
      <x:c r="F23" s="16" t="str">
        <x:v>TS nhận notification và task pending.</x:v>
      </x:c>
      <x:c r="G23" s="17" t="str">
        <x:v>TS Pending</x:v>
      </x:c>
      <x:c r="H23" s="17" t="str"/>
      <x:c r="I23" s="44" t="str">
        <x:v>Not Run</x:v>
      </x:c>
    </x:row>
    <x:row r="24" ht="44" customHeight="1">
      <x:c r="A24" s="43" t="n">
        <x:v>19</x:v>
      </x:c>
      <x:c r="B24" s="43" t="str">
        <x:v>Policy Issuance</x:v>
      </x:c>
      <x:c r="C24" s="43" t="str">
        <x:v>TS</x:v>
      </x:c>
      <x:c r="D24" s="43" t="str">
        <x:v>Accept</x:v>
      </x:c>
      <x:c r="E24" s="23" t="str">
        <x:v>Accept PI task.</x:v>
      </x:c>
      <x:c r="F24" s="23" t="str">
        <x:v>Ghi Accepted Date và bắt đầu TS TAT.</x:v>
      </x:c>
      <x:c r="G24" s="43" t="str">
        <x:v>TS Process</x:v>
      </x:c>
      <x:c r="H24" s="43" t="str"/>
      <x:c r="I24" s="44" t="str">
        <x:v>Not Run</x:v>
      </x:c>
    </x:row>
    <x:row r="25" ht="44" customHeight="1">
      <x:c r="A25" s="17" t="n">
        <x:v>20</x:v>
      </x:c>
      <x:c r="B25" s="17" t="str">
        <x:v>Policy Issuance</x:v>
      </x:c>
      <x:c r="C25" s="17" t="str">
        <x:v>TS</x:v>
      </x:c>
      <x:c r="D25" s="17" t="str">
        <x:v>Checklist</x:v>
      </x:c>
      <x:c r="E25" s="16" t="str">
        <x:v>Điền đầy đủ checklist và dữ liệu PI.</x:v>
      </x:c>
      <x:c r="F25" s="16" t="str">
        <x:v>Checklist hợp lệ và lưu được attachment.</x:v>
      </x:c>
      <x:c r="G25" s="17" t="str">
        <x:v>TS Process</x:v>
      </x:c>
      <x:c r="H25" s="17" t="str"/>
      <x:c r="I25" s="44" t="str">
        <x:v>Not Run</x:v>
      </x:c>
    </x:row>
    <x:row r="26" ht="44" customHeight="1">
      <x:c r="A26" s="43" t="n">
        <x:v>21</x:v>
      </x:c>
      <x:c r="B26" s="43" t="str">
        <x:v>Policy Issuance</x:v>
      </x:c>
      <x:c r="C26" s="43" t="str">
        <x:v>TS</x:v>
      </x:c>
      <x:c r="D26" s="43" t="str">
        <x:v>Submit</x:v>
      </x:c>
      <x:c r="E26" s="23" t="str">
        <x:v>Submit PI sang PM.</x:v>
      </x:c>
      <x:c r="F26" s="23" t="str">
        <x:v>PM nhận notification và pending task.</x:v>
      </x:c>
      <x:c r="G26" s="43" t="str">
        <x:v>PM Pending</x:v>
      </x:c>
      <x:c r="H26" s="43" t="str"/>
      <x:c r="I26" s="44" t="str">
        <x:v>Not Run</x:v>
      </x:c>
    </x:row>
    <x:row r="27" ht="44" customHeight="1">
      <x:c r="A27" s="17" t="n">
        <x:v>22</x:v>
      </x:c>
      <x:c r="B27" s="17" t="str">
        <x:v>Policy Issuance</x:v>
      </x:c>
      <x:c r="C27" s="17" t="str">
        <x:v>PM</x:v>
      </x:c>
      <x:c r="D27" s="17" t="str">
        <x:v>Validate</x:v>
      </x:c>
      <x:c r="E27" s="16" t="str">
        <x:v>Kiểm tra checklist trước Accept.</x:v>
      </x:c>
      <x:c r="F27" s="16" t="str">
        <x:v>Không còn checklist item bắt buộc bị thiếu.</x:v>
      </x:c>
      <x:c r="G27" s="17" t="str">
        <x:v>PM Pending</x:v>
      </x:c>
      <x:c r="H27" s="17" t="str"/>
      <x:c r="I27" s="44" t="str">
        <x:v>Not Run</x:v>
      </x:c>
    </x:row>
    <x:row r="28" ht="44" customHeight="1">
      <x:c r="A28" s="43" t="n">
        <x:v>23</x:v>
      </x:c>
      <x:c r="B28" s="43" t="str">
        <x:v>Policy Issuance</x:v>
      </x:c>
      <x:c r="C28" s="43" t="str">
        <x:v>PM</x:v>
      </x:c>
      <x:c r="D28" s="43" t="str">
        <x:v>Accept</x:v>
      </x:c>
      <x:c r="E28" s="23" t="str">
        <x:v>Accept Policy request.</x:v>
      </x:c>
      <x:c r="F28" s="23" t="str">
        <x:v>Ghi PM Accepted Date và bắt đầu PM TAT.</x:v>
      </x:c>
      <x:c r="G28" s="43" t="str">
        <x:v>PM Process</x:v>
      </x:c>
      <x:c r="H28" s="43" t="str"/>
      <x:c r="I28" s="44" t="str">
        <x:v>Not Run</x:v>
      </x:c>
    </x:row>
    <x:row r="29" ht="44" customHeight="1">
      <x:c r="A29" s="17" t="n">
        <x:v>24</x:v>
      </x:c>
      <x:c r="B29" s="17" t="str">
        <x:v>Policy Issuance</x:v>
      </x:c>
      <x:c r="C29" s="17" t="str">
        <x:v>PM</x:v>
      </x:c>
      <x:c r="D29" s="17" t="str">
        <x:v>Submit</x:v>
      </x:c>
      <x:c r="E29" s="16" t="str">
        <x:v>Nhập Quotation No vào Core PA và Submit Policy.</x:v>
      </x:c>
      <x:c r="F29" s="16" t="str">
        <x:v>Core PA xử lý thành công.</x:v>
      </x:c>
      <x:c r="G29" s="17" t="str">
        <x:v>Submitted</x:v>
      </x:c>
      <x:c r="H29" s="17" t="str"/>
      <x:c r="I29" s="44" t="str">
        <x:v>Not Run</x:v>
      </x:c>
    </x:row>
    <x:row r="30" ht="44" customHeight="1">
      <x:c r="A30" s="43" t="n">
        <x:v>25</x:v>
      </x:c>
      <x:c r="B30" s="43" t="str">
        <x:v>Policy Issuance</x:v>
      </x:c>
      <x:c r="C30" s="43" t="str">
        <x:v>System</x:v>
      </x:c>
      <x:c r="D30" s="43" t="str">
        <x:v>Sync</x:v>
      </x:c>
      <x:c r="E30" s="23" t="str">
        <x:v>Đồng bộ Policy No về workflow.</x:v>
      </x:c>
      <x:c r="F30" s="23" t="str">
        <x:v>Quotation No và Policy No mapping đúng.</x:v>
      </x:c>
      <x:c r="G30" s="43" t="str">
        <x:v>Submit but follow up</x:v>
      </x:c>
      <x:c r="H30" s="43" t="str"/>
      <x:c r="I30" s="44" t="str">
        <x:v>Not Run</x:v>
      </x:c>
    </x:row>
    <x:row r="31" ht="44" customHeight="1">
      <x:c r="A31" s="17" t="n">
        <x:v>26</x:v>
      </x:c>
      <x:c r="B31" s="17" t="str">
        <x:v>Policy Issuance</x:v>
      </x:c>
      <x:c r="C31" s="17" t="str">
        <x:v>PM</x:v>
      </x:c>
      <x:c r="D31" s="17" t="str">
        <x:v>Assign</x:v>
      </x:c>
      <x:c r="E31" s="16" t="str">
        <x:v>Assign follow-up cho FO.</x:v>
      </x:c>
      <x:c r="F31" s="16" t="str">
        <x:v>FO nhận follow-up task.</x:v>
      </x:c>
      <x:c r="G31" s="17" t="str">
        <x:v>Follow Up</x:v>
      </x:c>
      <x:c r="H31" s="17" t="str"/>
      <x:c r="I31" s="44" t="str">
        <x:v>Not Run</x:v>
      </x:c>
    </x:row>
    <x:row r="32" ht="44" customHeight="1">
      <x:c r="A32" s="43" t="n">
        <x:v>27</x:v>
      </x:c>
      <x:c r="B32" s="43" t="str">
        <x:v>Policy Issuance</x:v>
      </x:c>
      <x:c r="C32" s="43" t="str">
        <x:v>FO</x:v>
      </x:c>
      <x:c r="D32" s="43" t="str">
        <x:v>Review Send</x:v>
      </x:c>
      <x:c r="E32" s="23" t="str">
        <x:v>Review policy và gửi khách hàng ký.</x:v>
      </x:c>
      <x:c r="F32" s="23" t="str">
        <x:v>Email và policy attachment đúng.</x:v>
      </x:c>
      <x:c r="G32" s="43" t="str">
        <x:v>Follow Up</x:v>
      </x:c>
      <x:c r="H32" s="43" t="str"/>
      <x:c r="I32" s="44" t="str">
        <x:v>Not Run</x:v>
      </x:c>
    </x:row>
    <x:row r="33" ht="44" customHeight="1">
      <x:c r="A33" s="17" t="n">
        <x:v>28</x:v>
      </x:c>
      <x:c r="B33" s="17" t="str">
        <x:v>Policy Issuance</x:v>
      </x:c>
      <x:c r="C33" s="17" t="str">
        <x:v>FO</x:v>
      </x:c>
      <x:c r="D33" s="17" t="str">
        <x:v>Receive</x:v>
      </x:c>
      <x:c r="E33" s="16" t="str">
        <x:v>Nhận bản ký trả từ khách hàng.</x:v>
      </x:c>
      <x:c r="F33" s="16" t="str">
        <x:v>Signed-back document được lưu.</x:v>
      </x:c>
      <x:c r="G33" s="17" t="str">
        <x:v>Follow Up</x:v>
      </x:c>
      <x:c r="H33" s="17" t="str"/>
      <x:c r="I33" s="44" t="str">
        <x:v>Not Run</x:v>
      </x:c>
    </x:row>
    <x:row r="34" ht="44" customHeight="1">
      <x:c r="A34" s="43" t="n">
        <x:v>29</x:v>
      </x:c>
      <x:c r="B34" s="43" t="str">
        <x:v>Policy Issuance</x:v>
      </x:c>
      <x:c r="C34" s="43" t="str">
        <x:v>FO</x:v>
      </x:c>
      <x:c r="D34" s="43" t="str">
        <x:v>Submit</x:v>
      </x:c>
      <x:c r="E34" s="23" t="str">
        <x:v>Submit follow-up document về PM.</x:v>
      </x:c>
      <x:c r="F34" s="23" t="str">
        <x:v>PM nhận đủ chứng từ follow-up.</x:v>
      </x:c>
      <x:c r="G34" s="43" t="str">
        <x:v>PM Process</x:v>
      </x:c>
      <x:c r="H34" s="43" t="str"/>
      <x:c r="I34" s="44" t="str">
        <x:v>Not Run</x:v>
      </x:c>
    </x:row>
    <x:row r="35" ht="44" customHeight="1">
      <x:c r="A35" s="17" t="n">
        <x:v>30</x:v>
      </x:c>
      <x:c r="B35" s="17" t="str">
        <x:v>Policy Issuance</x:v>
      </x:c>
      <x:c r="C35" s="17" t="str">
        <x:v>PM</x:v>
      </x:c>
      <x:c r="D35" s="17" t="str">
        <x:v>Complete</x:v>
      </x:c>
      <x:c r="E35" s="16" t="str">
        <x:v>Complete Policy Issuance.</x:v>
      </x:c>
      <x:c r="F35" s="16" t="str">
        <x:v>CompletedDate có giá trị; IsCompleted = 1.</x:v>
      </x:c>
      <x:c r="G35" s="17" t="str">
        <x:v>Completed</x:v>
      </x:c>
      <x:c r="H35" s="17" t="str"/>
      <x:c r="I35" s="44" t="str">
        <x:v>Not Run</x:v>
      </x:c>
    </x:row>
  </x:sheetData>
  <x:mergeCells>
    <x:mergeCell ref="A1:I1"/>
    <x:mergeCell ref="A2:I2"/>
  </x:mergeCells>
  <x:conditionalFormatting sqref="I6:I3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1">
    <x:dataValidation type="list" sqref="I6:I35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Scenario Catalog</x:v>
      </x:c>
    </x:row>
    <x:row r="2" ht="26" customHeight="1">
      <x:c r="A2" s="5" t="str">
        <x:v>Toàn bộ trường hợp lấy từ flow BRD và các điểm kiểm tra liên quan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HP-001</x:v>
      </x:c>
      <x:c r="B6" s="43" t="str">
        <x:v>End to End</x:v>
      </x:c>
      <x:c r="C6" s="43" t="str">
        <x:v>Happy Path</x:v>
      </x:c>
      <x:c r="D6" s="23" t="str">
        <x:v>Qua TS, không referral UW, LMKT ký, khách hàng đồng ý, PI qua TS và PM complete.</x:v>
      </x:c>
      <x:c r="E6" s="23" t="str">
        <x:v>Quotation và Policy Issuance hoàn tất, dữ liệu được liên kết.</x:v>
      </x:c>
      <x:c r="F6" s="43" t="str">
        <x:v>Completed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HP-002</x:v>
      </x:c>
      <x:c r="B7" s="17" t="str">
        <x:v>End to End</x:v>
      </x:c>
      <x:c r="C7" s="17" t="str">
        <x:v>Happy Path</x:v>
      </x:c>
      <x:c r="D7" s="16" t="str">
        <x:v>Qua TS, referral UW và UW Approve Risk, sau đó tiếp tục cấp đơn.</x:v>
      </x:c>
      <x:c r="E7" s="16" t="str">
        <x:v>UW result lưu lịch sử; quotation và policy hoàn tất.</x:v>
      </x:c>
      <x:c r="F7" s="17" t="str">
        <x:v>Completed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HP-003</x:v>
      </x:c>
      <x:c r="B8" s="43" t="str">
        <x:v>Quotation</x:v>
      </x:c>
      <x:c r="C8" s="43" t="str">
        <x:v>Happy Path</x:v>
      </x:c>
      <x:c r="D8" s="23" t="str">
        <x:v>UW chọn No Need To Refer và trả về FO.</x:v>
      </x:c>
      <x:c r="E8" s="23" t="str">
        <x:v>FO tiếp tục trình LMKT và gửi khách hàng.</x:v>
      </x:c>
      <x:c r="F8" s="43" t="str">
        <x:v>Quotation Confirmed</x:v>
      </x:c>
      <x:c r="G8" s="43" t="str">
        <x:v>Medium</x:v>
      </x:c>
      <x:c r="H8" s="44" t="str">
        <x:v>Not Run</x:v>
      </x:c>
      <x:c r="I8" s="45" t="str"/>
    </x:row>
    <x:row r="9" ht="48" customHeight="1">
      <x:c r="A9" s="17" t="str">
        <x:v>HP-004</x:v>
      </x:c>
      <x:c r="B9" s="17" t="str">
        <x:v>Quotation</x:v>
      </x:c>
      <x:c r="C9" s="17" t="str">
        <x:v>Happy Path</x:v>
      </x:c>
      <x:c r="D9" s="16" t="str">
        <x:v>UW referral lên UW Manager, được approve và trả về FO.</x:v>
      </x:c>
      <x:c r="E9" s="16" t="str">
        <x:v>Escalation lưu đủ PIC, comment và quyết định.</x:v>
      </x:c>
      <x:c r="F9" s="17" t="str">
        <x:v>Quotation Confirmed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HP-005</x:v>
      </x:c>
      <x:c r="B10" s="43" t="str">
        <x:v>Quotation</x:v>
      </x:c>
      <x:c r="C10" s="43" t="str">
        <x:v>Alternative Happy</x:v>
      </x:c>
      <x:c r="D10" s="23" t="str">
        <x:v>FO Skip TS khi làm quotation.</x:v>
      </x:c>
      <x:c r="E10" s="23" t="str">
        <x:v>FO tự hoàn thiện quotation và tiếp tục các bước phê duyệt.</x:v>
      </x:c>
      <x:c r="F10" s="43" t="str">
        <x:v>Quotation Confirmed</x:v>
      </x:c>
      <x:c r="G10" s="43" t="str">
        <x:v>Medium</x:v>
      </x:c>
      <x:c r="H10" s="44" t="str">
        <x:v>Not Run</x:v>
      </x:c>
      <x:c r="I10" s="45" t="str"/>
    </x:row>
    <x:row r="11" ht="48" customHeight="1">
      <x:c r="A11" s="17" t="str">
        <x:v>HP-006</x:v>
      </x:c>
      <x:c r="B11" s="17" t="str">
        <x:v>Policy Issuance</x:v>
      </x:c>
      <x:c r="C11" s="17" t="str">
        <x:v>Alternative Happy</x:v>
      </x:c>
      <x:c r="D11" s="16" t="str">
        <x:v>FO Skip TS và gửi PI trực tiếp PM.</x:v>
      </x:c>
      <x:c r="E11" s="16" t="str">
        <x:v>PM nhận đúng task và chỉ Accept sau khi checklist hợp lệ.</x:v>
      </x:c>
      <x:c r="F11" s="17" t="str">
        <x:v>Completed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HP-007</x:v>
      </x:c>
      <x:c r="B12" s="43" t="str">
        <x:v>Quotation</x:v>
      </x:c>
      <x:c r="C12" s="43" t="str">
        <x:v>Alternative Happy</x:v>
      </x:c>
      <x:c r="D12" s="23" t="str">
        <x:v>Endorsement được cấu hình Skip MGR.</x:v>
      </x:c>
      <x:c r="E12" s="23" t="str">
        <x:v>Quotation bỏ qua bước ký MGR theo đúng rule.</x:v>
      </x:c>
      <x:c r="F12" s="43" t="str">
        <x:v>Quotation Confirmed</x:v>
      </x:c>
      <x:c r="G12" s="43" t="str">
        <x:v>Medium</x:v>
      </x:c>
      <x:c r="H12" s="44" t="str">
        <x:v>Not Run</x:v>
      </x:c>
      <x:c r="I12" s="45" t="str"/>
    </x:row>
    <x:row r="13" ht="48" customHeight="1">
      <x:c r="A13" s="17" t="str">
        <x:v>HP-008</x:v>
      </x:c>
      <x:c r="B13" s="17" t="str">
        <x:v>Policy Issuance</x:v>
      </x:c>
      <x:c r="C13" s="17" t="str">
        <x:v>Happy Path</x:v>
      </x:c>
      <x:c r="D13" s="16" t="str">
        <x:v>PM Submit Policy và không cần follow-up.</x:v>
      </x:c>
      <x:c r="E13" s="16" t="str">
        <x:v>Policy No được đồng bộ và PI complete.</x:v>
      </x:c>
      <x:c r="F13" s="17" t="str">
        <x:v>Completed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HP-009</x:v>
      </x:c>
      <x:c r="B14" s="43" t="str">
        <x:v>Policy Issuance</x:v>
      </x:c>
      <x:c r="C14" s="43" t="str">
        <x:v>Happy Path</x:v>
      </x:c>
      <x:c r="D14" s="23" t="str">
        <x:v>PM Submit but follow up, FO thu thập chứng từ.</x:v>
      </x:c>
      <x:c r="E14" s="23" t="str">
        <x:v>FO gửi, nhận bản ký và submit follow-up về PM.</x:v>
      </x:c>
      <x:c r="F14" s="43" t="str">
        <x:v>Completed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HP-010</x:v>
      </x:c>
      <x:c r="B15" s="17" t="str">
        <x:v>Policy Issuance</x:v>
      </x:c>
      <x:c r="C15" s="17" t="str">
        <x:v>Happy Path</x:v>
      </x:c>
      <x:c r="D15" s="16" t="str">
        <x:v>PM Submit but follow up, TS thu thập chứng từ.</x:v>
      </x:c>
      <x:c r="E15" s="16" t="str">
        <x:v>TS gửi, nhận bản ký và submit follow-up về PM.</x:v>
      </x:c>
      <x:c r="F15" s="17" t="str">
        <x:v>Completed</x:v>
      </x:c>
      <x:c r="G15" s="17" t="str">
        <x:v>High</x:v>
      </x:c>
      <x:c r="H15" s="44" t="str">
        <x:v>Not Run</x:v>
      </x:c>
      <x:c r="I15" s="45" t="str"/>
    </x:row>
    <x:row r="16" ht="48" customHeight="1">
      <x:c r="A16" s="43" t="str">
        <x:v>HP-011</x:v>
      </x:c>
      <x:c r="B16" s="43" t="str">
        <x:v>Integration</x:v>
      </x:c>
      <x:c r="C16" s="43" t="str">
        <x:v>Happy Path</x:v>
      </x:c>
      <x:c r="D16" s="23" t="str">
        <x:v>Policy No đồng bộ thành công từ Core PA.</x:v>
      </x:c>
      <x:c r="E16" s="23" t="str">
        <x:v>Quotation No và Policy No mapping đúng một hồ sơ.</x:v>
      </x:c>
      <x:c r="F16" s="43" t="str">
        <x:v>Completed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HP-012</x:v>
      </x:c>
      <x:c r="B17" s="17" t="str">
        <x:v>Policy Issuance</x:v>
      </x:c>
      <x:c r="C17" s="17" t="str">
        <x:v>Business Rule</x:v>
      </x:c>
      <x:c r="D17" s="16" t="str">
        <x:v>Một quotation tạo đúng một PI request active.</x:v>
      </x:c>
      <x:c r="E17" s="16" t="str">
        <x:v>Không sinh PI trùng cho cùng quotation.</x:v>
      </x:c>
      <x:c r="F17" s="17" t="str">
        <x:v>PI Active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ASN-001</x:v>
      </x:c>
      <x:c r="B18" s="43" t="str">
        <x:v>Quotation</x:v>
      </x:c>
      <x:c r="C18" s="43" t="str">
        <x:v>Assign Accept</x:v>
      </x:c>
      <x:c r="D18" s="23" t="str">
        <x:v>FO Assign TS làm quotation.</x:v>
      </x:c>
      <x:c r="E18" s="23" t="str">
        <x:v>TS nhận task, notification và status TS Pending.</x:v>
      </x:c>
      <x:c r="F18" s="43" t="str">
        <x:v>TS Pending</x:v>
      </x:c>
      <x:c r="G18" s="43" t="str">
        <x:v>High</x:v>
      </x:c>
      <x:c r="H18" s="44" t="str">
        <x:v>Not Run</x:v>
      </x:c>
      <x:c r="I18" s="45" t="str"/>
    </x:row>
    <x:row r="19" ht="48" customHeight="1">
      <x:c r="A19" s="17" t="str">
        <x:v>ASN-002</x:v>
      </x:c>
      <x:c r="B19" s="17" t="str">
        <x:v>Quotation</x:v>
      </x:c>
      <x:c r="C19" s="17" t="str">
        <x:v>Assign Accept</x:v>
      </x:c>
      <x:c r="D19" s="16" t="str">
        <x:v>TS Accept quotation task.</x:v>
      </x:c>
      <x:c r="E19" s="16" t="str">
        <x:v>Ghi Accepted Date, owner TS và status TS Process.</x:v>
      </x:c>
      <x:c r="F19" s="17" t="str">
        <x:v>TS Process</x:v>
      </x:c>
      <x:c r="G19" s="17" t="str">
        <x:v>High</x:v>
      </x:c>
      <x:c r="H19" s="44" t="str">
        <x:v>Not Run</x:v>
      </x:c>
      <x:c r="I19" s="45" t="str"/>
    </x:row>
    <x:row r="20" ht="48" customHeight="1">
      <x:c r="A20" s="43" t="str">
        <x:v>ASN-003</x:v>
      </x:c>
      <x:c r="B20" s="43" t="str">
        <x:v>Quotation</x:v>
      </x:c>
      <x:c r="C20" s="43" t="str">
        <x:v>Assign Accept</x:v>
      </x:c>
      <x:c r="D20" s="23" t="str">
        <x:v>FO Assign UW referral.</x:v>
      </x:c>
      <x:c r="E20" s="23" t="str">
        <x:v>UW nhận task và notification.</x:v>
      </x:c>
      <x:c r="F20" s="43" t="str">
        <x:v>UW Pending</x:v>
      </x:c>
      <x:c r="G20" s="43" t="str">
        <x:v>High</x:v>
      </x:c>
      <x:c r="H20" s="44" t="str">
        <x:v>Not Run</x:v>
      </x:c>
      <x:c r="I20" s="45" t="str"/>
    </x:row>
    <x:row r="21" ht="48" customHeight="1">
      <x:c r="A21" s="17" t="str">
        <x:v>ASN-004</x:v>
      </x:c>
      <x:c r="B21" s="17" t="str">
        <x:v>Quotation</x:v>
      </x:c>
      <x:c r="C21" s="17" t="str">
        <x:v>Assign Accept</x:v>
      </x:c>
      <x:c r="D21" s="16" t="str">
        <x:v>UW Accept referral task.</x:v>
      </x:c>
      <x:c r="E21" s="16" t="str">
        <x:v>Ghi Accepted Date và bắt đầu UW TAT.</x:v>
      </x:c>
      <x:c r="F21" s="17" t="str">
        <x:v>UW Process</x:v>
      </x:c>
      <x:c r="G21" s="17" t="str">
        <x:v>High</x:v>
      </x:c>
      <x:c r="H21" s="44" t="str">
        <x:v>Not Run</x:v>
      </x:c>
      <x:c r="I21" s="45" t="str"/>
    </x:row>
    <x:row r="22" ht="48" customHeight="1">
      <x:c r="A22" s="43" t="str">
        <x:v>ASN-005</x:v>
      </x:c>
      <x:c r="B22" s="43" t="str">
        <x:v>Quotation</x:v>
      </x:c>
      <x:c r="C22" s="43" t="str">
        <x:v>Assign Accept</x:v>
      </x:c>
      <x:c r="D22" s="23" t="str">
        <x:v>FO Submit quotation sang LMKT/MGR.</x:v>
      </x:c>
      <x:c r="E22" s="23" t="str">
        <x:v>LMKT nhận task phê duyệt và ký.</x:v>
      </x:c>
      <x:c r="F22" s="43" t="str">
        <x:v>MKT Review</x:v>
      </x:c>
      <x:c r="G22" s="43" t="str">
        <x:v>High</x:v>
      </x:c>
      <x:c r="H22" s="44" t="str">
        <x:v>Not Run</x:v>
      </x:c>
      <x:c r="I22" s="45" t="str"/>
    </x:row>
    <x:row r="23" ht="48" customHeight="1">
      <x:c r="A23" s="17" t="str">
        <x:v>ASN-006</x:v>
      </x:c>
      <x:c r="B23" s="17" t="str">
        <x:v>Policy Issuance</x:v>
      </x:c>
      <x:c r="C23" s="17" t="str">
        <x:v>Assign Accept</x:v>
      </x:c>
      <x:c r="D23" s="16" t="str">
        <x:v>FO Assign TS làm Policy Issuance.</x:v>
      </x:c>
      <x:c r="E23" s="16" t="str">
        <x:v>TS nhận task và status TS Pending.</x:v>
      </x:c>
      <x:c r="F23" s="17" t="str">
        <x:v>TS Pending</x:v>
      </x:c>
      <x:c r="G23" s="17" t="str">
        <x:v>High</x:v>
      </x:c>
      <x:c r="H23" s="44" t="str">
        <x:v>Not Run</x:v>
      </x:c>
      <x:c r="I23" s="45" t="str"/>
    </x:row>
    <x:row r="24" ht="48" customHeight="1">
      <x:c r="A24" s="43" t="str">
        <x:v>ASN-007</x:v>
      </x:c>
      <x:c r="B24" s="43" t="str">
        <x:v>Policy Issuance</x:v>
      </x:c>
      <x:c r="C24" s="43" t="str">
        <x:v>Assign Accept</x:v>
      </x:c>
      <x:c r="D24" s="23" t="str">
        <x:v>TS Accept Policy Issuance task.</x:v>
      </x:c>
      <x:c r="E24" s="23" t="str">
        <x:v>Ghi Accepted Date và bắt đầu TS TAT.</x:v>
      </x:c>
      <x:c r="F24" s="43" t="str">
        <x:v>TS Process</x:v>
      </x:c>
      <x:c r="G24" s="43" t="str">
        <x:v>High</x:v>
      </x:c>
      <x:c r="H24" s="44" t="str">
        <x:v>Not Run</x:v>
      </x:c>
      <x:c r="I24" s="45" t="str"/>
    </x:row>
    <x:row r="25" ht="48" customHeight="1">
      <x:c r="A25" s="17" t="str">
        <x:v>ASN-008</x:v>
      </x:c>
      <x:c r="B25" s="17" t="str">
        <x:v>Policy Issuance</x:v>
      </x:c>
      <x:c r="C25" s="17" t="str">
        <x:v>Assign Accept</x:v>
      </x:c>
      <x:c r="D25" s="16" t="str">
        <x:v>FO hoặc TS Submit PI sang PM.</x:v>
      </x:c>
      <x:c r="E25" s="16" t="str">
        <x:v>PM nhận task và notification.</x:v>
      </x:c>
      <x:c r="F25" s="17" t="str">
        <x:v>PM Pending</x:v>
      </x:c>
      <x:c r="G25" s="17" t="str">
        <x:v>High</x:v>
      </x:c>
      <x:c r="H25" s="44" t="str">
        <x:v>Not Run</x:v>
      </x:c>
      <x:c r="I25" s="45" t="str"/>
    </x:row>
    <x:row r="26" ht="48" customHeight="1">
      <x:c r="A26" s="43" t="str">
        <x:v>ASN-009</x:v>
      </x:c>
      <x:c r="B26" s="43" t="str">
        <x:v>Policy Issuance</x:v>
      </x:c>
      <x:c r="C26" s="43" t="str">
        <x:v>Assign Accept</x:v>
      </x:c>
      <x:c r="D26" s="23" t="str">
        <x:v>PM hoàn tất checklist validation rồi Accept.</x:v>
      </x:c>
      <x:c r="E26" s="23" t="str">
        <x:v>PM Accept thành công và bắt đầu PM TAT.</x:v>
      </x:c>
      <x:c r="F26" s="43" t="str">
        <x:v>PM Process</x:v>
      </x:c>
      <x:c r="G26" s="43" t="str">
        <x:v>High</x:v>
      </x:c>
      <x:c r="H26" s="44" t="str">
        <x:v>Not Run</x:v>
      </x:c>
      <x:c r="I26" s="45" t="str"/>
    </x:row>
    <x:row r="27" ht="48" customHeight="1">
      <x:c r="A27" s="17" t="str">
        <x:v>ASN-010</x:v>
      </x:c>
      <x:c r="B27" s="17" t="str">
        <x:v>Policy Issuance</x:v>
      </x:c>
      <x:c r="C27" s="17" t="str">
        <x:v>Assign Accept</x:v>
      </x:c>
      <x:c r="D27" s="16" t="str">
        <x:v>PM reassign cho PM PIC khác.</x:v>
      </x:c>
      <x:c r="E27" s="16" t="str">
        <x:v>Owner thay đổi, audit và notification đầy đủ.</x:v>
      </x:c>
      <x:c r="F27" s="17" t="str">
        <x:v>PM Process</x:v>
      </x:c>
      <x:c r="G27" s="17" t="str">
        <x:v>Medium</x:v>
      </x:c>
      <x:c r="H27" s="44" t="str">
        <x:v>Not Run</x:v>
      </x:c>
      <x:c r="I27" s="45" t="str"/>
    </x:row>
    <x:row r="28" ht="48" customHeight="1">
      <x:c r="A28" s="43" t="str">
        <x:v>ASN-011</x:v>
      </x:c>
      <x:c r="B28" s="43" t="str">
        <x:v>Common</x:v>
      </x:c>
      <x:c r="C28" s="43" t="str">
        <x:v>Authorization</x:v>
      </x:c>
      <x:c r="D28" s="23" t="str">
        <x:v>Người không đúng role thực hiện Accept.</x:v>
      </x:c>
      <x:c r="E28" s="23" t="str">
        <x:v>Hệ thống từ chối và không đổi owner/status.</x:v>
      </x:c>
      <x:c r="F28" s="43" t="str">
        <x:v>Unchanged</x:v>
      </x:c>
      <x:c r="G28" s="43" t="str">
        <x:v>High</x:v>
      </x:c>
      <x:c r="H28" s="44" t="str">
        <x:v>Not Run</x:v>
      </x:c>
      <x:c r="I28" s="45" t="str"/>
    </x:row>
    <x:row r="29" ht="48" customHeight="1">
      <x:c r="A29" s="17" t="str">
        <x:v>ASN-012</x:v>
      </x:c>
      <x:c r="B29" s="17" t="str">
        <x:v>Common</x:v>
      </x:c>
      <x:c r="C29" s="17" t="str">
        <x:v>Concurrency</x:v>
      </x:c>
      <x:c r="D29" s="16" t="str">
        <x:v>Hai người Accept cùng một task gần đồng thời.</x:v>
      </x:c>
      <x:c r="E29" s="16" t="str">
        <x:v>Chỉ một người thành owner; không tạo xử lý trùng.</x:v>
      </x:c>
      <x:c r="F29" s="17" t="str">
        <x:v>In Progress</x:v>
      </x:c>
      <x:c r="G29" s="17" t="str">
        <x:v>High</x:v>
      </x:c>
      <x:c r="H29" s="44" t="str">
        <x:v>Not Run</x:v>
      </x:c>
      <x:c r="I29" s="45" t="str"/>
    </x:row>
    <x:row r="30" ht="48" customHeight="1">
      <x:c r="A30" s="43" t="str">
        <x:v>ASN-013</x:v>
      </x:c>
      <x:c r="B30" s="43" t="str">
        <x:v>Common</x:v>
      </x:c>
      <x:c r="C30" s="43" t="str">
        <x:v>TAT</x:v>
      </x:c>
      <x:c r="D30" s="23" t="str">
        <x:v>Assign task và gửi notification.</x:v>
      </x:c>
      <x:c r="E30" s="23" t="str">
        <x:v>Notification Time được lưu đúng thời điểm.</x:v>
      </x:c>
      <x:c r="F30" s="43" t="str">
        <x:v>Pending</x:v>
      </x:c>
      <x:c r="G30" s="43" t="str">
        <x:v>Medium</x:v>
      </x:c>
      <x:c r="H30" s="44" t="str">
        <x:v>Not Run</x:v>
      </x:c>
      <x:c r="I30" s="45" t="str"/>
    </x:row>
    <x:row r="31" ht="48" customHeight="1">
      <x:c r="A31" s="17" t="str">
        <x:v>ASN-014</x:v>
      </x:c>
      <x:c r="B31" s="17" t="str">
        <x:v>Common</x:v>
      </x:c>
      <x:c r="C31" s="17" t="str">
        <x:v>TAT</x:v>
      </x:c>
      <x:c r="D31" s="16" t="str">
        <x:v>User Accept task.</x:v>
      </x:c>
      <x:c r="E31" s="16" t="str">
        <x:v>Accepted Date được lưu đúng thời điểm.</x:v>
      </x:c>
      <x:c r="F31" s="17" t="str">
        <x:v>In Progress</x:v>
      </x:c>
      <x:c r="G31" s="17" t="str">
        <x:v>Medium</x:v>
      </x:c>
      <x:c r="H31" s="44" t="str">
        <x:v>Not Run</x:v>
      </x:c>
      <x:c r="I31" s="45" t="str"/>
    </x:row>
    <x:row r="32" ht="48" customHeight="1">
      <x:c r="A32" s="43" t="str">
        <x:v>ASN-015</x:v>
      </x:c>
      <x:c r="B32" s="43" t="str">
        <x:v>Common</x:v>
      </x:c>
      <x:c r="C32" s="43" t="str">
        <x:v>TAT</x:v>
      </x:c>
      <x:c r="D32" s="23" t="str">
        <x:v>Tính Gap TAT sau Accept.</x:v>
      </x:c>
      <x:c r="E32" s="23" t="str">
        <x:v>Gap TAT bằng Accept Time trừ Notification Time.</x:v>
      </x:c>
      <x:c r="F32" s="43" t="str">
        <x:v>Calculated</x:v>
      </x:c>
      <x:c r="G32" s="43" t="str">
        <x:v>Medium</x:v>
      </x:c>
      <x:c r="H32" s="44" t="str">
        <x:v>Not Run</x:v>
      </x:c>
      <x:c r="I32" s="45" t="str"/>
    </x:row>
    <x:row r="33" ht="48" customHeight="1">
      <x:c r="A33" s="17" t="str">
        <x:v>ASN-016</x:v>
      </x:c>
      <x:c r="B33" s="17" t="str">
        <x:v>Common</x:v>
      </x:c>
      <x:c r="C33" s="17" t="str">
        <x:v>TAT</x:v>
      </x:c>
      <x:c r="D33" s="16" t="str">
        <x:v>Return rồi Accept lại.</x:v>
      </x:c>
      <x:c r="E33" s="16" t="str">
        <x:v>TAT dùng Accepted Date cuối cùng.</x:v>
      </x:c>
      <x:c r="F33" s="17" t="str">
        <x:v>Calculated</x:v>
      </x:c>
      <x:c r="G33" s="17" t="str">
        <x:v>High</x:v>
      </x:c>
      <x:c r="H33" s="44" t="str">
        <x:v>Not Run</x:v>
      </x:c>
      <x:c r="I33" s="45" t="str"/>
    </x:row>
    <x:row r="34" ht="48" customHeight="1">
      <x:c r="A34" s="43" t="str">
        <x:v>QUO-RET-001</x:v>
      </x:c>
      <x:c r="B34" s="43" t="str">
        <x:v>Quotation</x:v>
      </x:c>
      <x:c r="C34" s="43" t="str">
        <x:v>Return</x:v>
      </x:c>
      <x:c r="D34" s="23" t="str">
        <x:v>TS trả FO do thiếu thông tin.</x:v>
      </x:c>
      <x:c r="E34" s="23" t="str">
        <x:v>Task về FO, ghi lý do và giữ dữ liệu đã nhập.</x:v>
      </x:c>
      <x:c r="F34" s="43" t="str">
        <x:v>FO Process</x:v>
      </x:c>
      <x:c r="G34" s="43" t="str">
        <x:v>High</x:v>
      </x:c>
      <x:c r="H34" s="44" t="str">
        <x:v>Not Run</x:v>
      </x:c>
      <x:c r="I34" s="45" t="str"/>
    </x:row>
    <x:row r="35" ht="48" customHeight="1">
      <x:c r="A35" s="17" t="str">
        <x:v>QUO-RET-002</x:v>
      </x:c>
      <x:c r="B35" s="17" t="str">
        <x:v>Quotation</x:v>
      </x:c>
      <x:c r="C35" s="17" t="str">
        <x:v>Resubmit</x:v>
      </x:c>
      <x:c r="D35" s="16" t="str">
        <x:v>FO bổ sung rồi gửi lại TS.</x:v>
      </x:c>
      <x:c r="E35" s="16" t="str">
        <x:v>TS nhận vòng xử lý mới; loop count tăng.</x:v>
      </x:c>
      <x:c r="F35" s="17" t="str">
        <x:v>TS Pending</x:v>
      </x:c>
      <x:c r="G35" s="17" t="str">
        <x:v>High</x:v>
      </x:c>
      <x:c r="H35" s="44" t="str">
        <x:v>Not Run</x:v>
      </x:c>
      <x:c r="I35" s="45" t="str"/>
    </x:row>
    <x:row r="36" ht="48" customHeight="1">
      <x:c r="A36" s="43" t="str">
        <x:v>QUO-RET-003</x:v>
      </x:c>
      <x:c r="B36" s="43" t="str">
        <x:v>Quotation</x:v>
      </x:c>
      <x:c r="C36" s="43" t="str">
        <x:v>Revise</x:v>
      </x:c>
      <x:c r="D36" s="23" t="str">
        <x:v>FO yêu cầu TS revise quotation.</x:v>
      </x:c>
      <x:c r="E36" s="23" t="str">
        <x:v>Tạo vòng xử lý mới, không ghi đè lịch sử cũ.</x:v>
      </x:c>
      <x:c r="F36" s="43" t="str">
        <x:v>TS Process</x:v>
      </x:c>
      <x:c r="G36" s="43" t="str">
        <x:v>High</x:v>
      </x:c>
      <x:c r="H36" s="44" t="str">
        <x:v>Not Run</x:v>
      </x:c>
      <x:c r="I36" s="45" t="str"/>
    </x:row>
    <x:row r="37" ht="48" customHeight="1">
      <x:c r="A37" s="17" t="str">
        <x:v>QUO-RET-004</x:v>
      </x:c>
      <x:c r="B37" s="17" t="str">
        <x:v>Quotation</x:v>
      </x:c>
      <x:c r="C37" s="17" t="str">
        <x:v>Return</x:v>
      </x:c>
      <x:c r="D37" s="16" t="str">
        <x:v>UW chọn Need More Information và trả FO.</x:v>
      </x:c>
      <x:c r="E37" s="16" t="str">
        <x:v>FO nhận yêu cầu bổ sung, UW TAT tạm dừng.</x:v>
      </x:c>
      <x:c r="F37" s="17" t="str">
        <x:v>FO Process</x:v>
      </x:c>
      <x:c r="G37" s="17" t="str">
        <x:v>High</x:v>
      </x:c>
      <x:c r="H37" s="44" t="str">
        <x:v>Not Run</x:v>
      </x:c>
      <x:c r="I37" s="45" t="str"/>
    </x:row>
    <x:row r="38" ht="48" customHeight="1">
      <x:c r="A38" s="43" t="str">
        <x:v>QUO-RET-005</x:v>
      </x:c>
      <x:c r="B38" s="43" t="str">
        <x:v>Quotation</x:v>
      </x:c>
      <x:c r="C38" s="43" t="str">
        <x:v>Return</x:v>
      </x:c>
      <x:c r="D38" s="23" t="str">
        <x:v>UW Return sau khi đã Accept.</x:v>
      </x:c>
      <x:c r="E38" s="23" t="str">
        <x:v>Khi gửi lại, UW TAT dùng lần Accept cuối.</x:v>
      </x:c>
      <x:c r="F38" s="43" t="str">
        <x:v>UW Pending</x:v>
      </x:c>
      <x:c r="G38" s="43" t="str">
        <x:v>High</x:v>
      </x:c>
      <x:c r="H38" s="44" t="str">
        <x:v>Not Run</x:v>
      </x:c>
      <x:c r="I38" s="45" t="str"/>
    </x:row>
    <x:row r="39" ht="48" customHeight="1">
      <x:c r="A39" s="17" t="str">
        <x:v>QUO-RET-006</x:v>
      </x:c>
      <x:c r="B39" s="17" t="str">
        <x:v>Quotation</x:v>
      </x:c>
      <x:c r="C39" s="17" t="str">
        <x:v>Return</x:v>
      </x:c>
      <x:c r="D39" s="16" t="str">
        <x:v>LMKT/MGR trả FO chỉnh sửa.</x:v>
      </x:c>
      <x:c r="E39" s="16" t="str">
        <x:v>FO nhận task, lý do và bản quotation hiện hành.</x:v>
      </x:c>
      <x:c r="F39" s="17" t="str">
        <x:v>FO Review</x:v>
      </x:c>
      <x:c r="G39" s="17" t="str">
        <x:v>High</x:v>
      </x:c>
      <x:c r="H39" s="44" t="str">
        <x:v>Not Run</x:v>
      </x:c>
      <x:c r="I39" s="45" t="str"/>
    </x:row>
    <x:row r="40" ht="48" customHeight="1">
      <x:c r="A40" s="43" t="str">
        <x:v>QUO-REV-001</x:v>
      </x:c>
      <x:c r="B40" s="43" t="str">
        <x:v>Quotation</x:v>
      </x:c>
      <x:c r="C40" s="43" t="str">
        <x:v>Revise</x:v>
      </x:c>
      <x:c r="D40" s="23" t="str">
        <x:v>FO revise trước khi gửi MGR.</x:v>
      </x:c>
      <x:c r="E40" s="23" t="str">
        <x:v>Version tăng và dữ liệu cũ còn trong lịch sử.</x:v>
      </x:c>
      <x:c r="F40" s="43" t="str">
        <x:v>FO Revision</x:v>
      </x:c>
      <x:c r="G40" s="43" t="str">
        <x:v>Medium</x:v>
      </x:c>
      <x:c r="H40" s="44" t="str">
        <x:v>Not Run</x:v>
      </x:c>
      <x:c r="I40" s="45" t="str"/>
    </x:row>
    <x:row r="41" ht="48" customHeight="1">
      <x:c r="A41" s="17" t="str">
        <x:v>QUO-REV-002</x:v>
      </x:c>
      <x:c r="B41" s="17" t="str">
        <x:v>Quotation</x:v>
      </x:c>
      <x:c r="C41" s="17" t="str">
        <x:v>Signature</x:v>
      </x:c>
      <x:c r="D41" s="16" t="str">
        <x:v>Quotation đã ký nhưng cần revise và ký lại.</x:v>
      </x:c>
      <x:c r="E41" s="16" t="str">
        <x:v>Bản ký cũ mất hiệu lực; tạo version ký mới.</x:v>
      </x:c>
      <x:c r="F41" s="17" t="str">
        <x:v>MKT Review</x:v>
      </x:c>
      <x:c r="G41" s="17" t="str">
        <x:v>High</x:v>
      </x:c>
      <x:c r="H41" s="44" t="str">
        <x:v>Not Run</x:v>
      </x:c>
      <x:c r="I41" s="45" t="str"/>
    </x:row>
    <x:row r="42" ht="48" customHeight="1">
      <x:c r="A42" s="43" t="str">
        <x:v>QUO-CAN-001</x:v>
      </x:c>
      <x:c r="B42" s="43" t="str">
        <x:v>Quotation</x:v>
      </x:c>
      <x:c r="C42" s="43" t="str">
        <x:v>Cancel</x:v>
      </x:c>
      <x:c r="D42" s="23" t="str">
        <x:v>FO cancel khi quotation còn Draft.</x:v>
      </x:c>
      <x:c r="E42" s="23" t="str">
        <x:v>Ghi lý do, đóng workflow và không còn task mở.</x:v>
      </x:c>
      <x:c r="F42" s="43" t="str">
        <x:v>Cancelled</x:v>
      </x:c>
      <x:c r="G42" s="43" t="str">
        <x:v>High</x:v>
      </x:c>
      <x:c r="H42" s="44" t="str">
        <x:v>Not Run</x:v>
      </x:c>
      <x:c r="I42" s="45" t="str"/>
    </x:row>
    <x:row r="43" ht="48" customHeight="1">
      <x:c r="A43" s="17" t="str">
        <x:v>QUO-CAN-002</x:v>
      </x:c>
      <x:c r="B43" s="17" t="str">
        <x:v>Quotation</x:v>
      </x:c>
      <x:c r="C43" s="17" t="str">
        <x:v>Cancel</x:v>
      </x:c>
      <x:c r="D43" s="16" t="str">
        <x:v>FO cancel sau khi TS đã xử lý.</x:v>
      </x:c>
      <x:c r="E43" s="16" t="str">
        <x:v>Đóng workflow nhưng giữ dữ liệu và lịch sử TS.</x:v>
      </x:c>
      <x:c r="F43" s="17" t="str">
        <x:v>Cancelled</x:v>
      </x:c>
      <x:c r="G43" s="17" t="str">
        <x:v>High</x:v>
      </x:c>
      <x:c r="H43" s="44" t="str">
        <x:v>Not Run</x:v>
      </x:c>
      <x:c r="I43" s="45" t="str"/>
    </x:row>
    <x:row r="44" ht="48" customHeight="1">
      <x:c r="A44" s="43" t="str">
        <x:v>QUO-CAN-003</x:v>
      </x:c>
      <x:c r="B44" s="43" t="str">
        <x:v>Quotation</x:v>
      </x:c>
      <x:c r="C44" s="43" t="str">
        <x:v>Cancel</x:v>
      </x:c>
      <x:c r="D44" s="23" t="str">
        <x:v>FO cancel trong lúc chờ UW.</x:v>
      </x:c>
      <x:c r="E44" s="23" t="str">
        <x:v>UW task bị đóng và các bên liên quan nhận notification.</x:v>
      </x:c>
      <x:c r="F44" s="43" t="str">
        <x:v>Cancelled</x:v>
      </x:c>
      <x:c r="G44" s="43" t="str">
        <x:v>High</x:v>
      </x:c>
      <x:c r="H44" s="44" t="str">
        <x:v>Not Run</x:v>
      </x:c>
      <x:c r="I44" s="45" t="str"/>
    </x:row>
    <x:row r="45" ht="48" customHeight="1">
      <x:c r="A45" s="17" t="str">
        <x:v>QUO-DEC-001</x:v>
      </x:c>
      <x:c r="B45" s="17" t="str">
        <x:v>Quotation</x:v>
      </x:c>
      <x:c r="C45" s="17" t="str">
        <x:v>Decline</x:v>
      </x:c>
      <x:c r="D45" s="16" t="str">
        <x:v>UW Decline Risk.</x:v>
      </x:c>
      <x:c r="E45" s="16" t="str">
        <x:v>Lưu quyết định và lý do; không tiếp tục cấp đơn.</x:v>
      </x:c>
      <x:c r="F45" s="17" t="str">
        <x:v>Declined</x:v>
      </x:c>
      <x:c r="G45" s="17" t="str">
        <x:v>High</x:v>
      </x:c>
      <x:c r="H45" s="44" t="str">
        <x:v>Not Run</x:v>
      </x:c>
      <x:c r="I45" s="45" t="str"/>
    </x:row>
    <x:row r="46" ht="48" customHeight="1">
      <x:c r="A46" s="43" t="str">
        <x:v>QUO-DEC-002</x:v>
      </x:c>
      <x:c r="B46" s="43" t="str">
        <x:v>Quotation</x:v>
      </x:c>
      <x:c r="C46" s="43" t="str">
        <x:v>Decline</x:v>
      </x:c>
      <x:c r="D46" s="23" t="str">
        <x:v>LMKT/MGR Decline quotation.</x:v>
      </x:c>
      <x:c r="E46" s="23" t="str">
        <x:v>Workflow kết thúc Declined và FO được thông báo.</x:v>
      </x:c>
      <x:c r="F46" s="43" t="str">
        <x:v>Declined</x:v>
      </x:c>
      <x:c r="G46" s="43" t="str">
        <x:v>High</x:v>
      </x:c>
      <x:c r="H46" s="44" t="str">
        <x:v>Not Run</x:v>
      </x:c>
      <x:c r="I46" s="45" t="str"/>
    </x:row>
    <x:row r="47" ht="48" customHeight="1">
      <x:c r="A47" s="17" t="str">
        <x:v>QUO-DEC-003</x:v>
      </x:c>
      <x:c r="B47" s="17" t="str">
        <x:v>Quotation</x:v>
      </x:c>
      <x:c r="C47" s="17" t="str">
        <x:v>Client Refusal</x:v>
      </x:c>
      <x:c r="D47" s="16" t="str">
        <x:v>Khách hàng từ chối quotation.</x:v>
      </x:c>
      <x:c r="E47" s="16" t="str">
        <x:v>FO ghi nhận refusal; quotation kết thúc.</x:v>
      </x:c>
      <x:c r="F47" s="17" t="str">
        <x:v>Quotation Refused</x:v>
      </x:c>
      <x:c r="G47" s="17" t="str">
        <x:v>High</x:v>
      </x:c>
      <x:c r="H47" s="44" t="str">
        <x:v>Not Run</x:v>
      </x:c>
      <x:c r="I47" s="45" t="str"/>
    </x:row>
    <x:row r="48" ht="48" customHeight="1">
      <x:c r="A48" s="43" t="str">
        <x:v>QUO-DEC-004</x:v>
      </x:c>
      <x:c r="B48" s="43" t="str">
        <x:v>Quotation</x:v>
      </x:c>
      <x:c r="C48" s="43" t="str">
        <x:v>Client Cancel</x:v>
      </x:c>
      <x:c r="D48" s="23" t="str">
        <x:v>Khách hàng không phản hồi và FO cancel.</x:v>
      </x:c>
      <x:c r="E48" s="23" t="str">
        <x:v>Ghi lý do và đóng quotation.</x:v>
      </x:c>
      <x:c r="F48" s="43" t="str">
        <x:v>Cancelled</x:v>
      </x:c>
      <x:c r="G48" s="43" t="str">
        <x:v>Medium</x:v>
      </x:c>
      <x:c r="H48" s="44" t="str">
        <x:v>Not Run</x:v>
      </x:c>
      <x:c r="I48" s="45" t="str"/>
    </x:row>
    <x:row r="49" ht="48" customHeight="1">
      <x:c r="A49" s="17" t="str">
        <x:v>QUO-SIGN-001</x:v>
      </x:c>
      <x:c r="B49" s="17" t="str">
        <x:v>Quotation</x:v>
      </x:c>
      <x:c r="C49" s="17" t="str">
        <x:v>Signature</x:v>
      </x:c>
      <x:c r="D49" s="16" t="str">
        <x:v>Ký số quotation thất bại.</x:v>
      </x:c>
      <x:c r="E49" s="16" t="str">
        <x:v>Không chuyển bước; hiển thị lỗi và cho phép thử lại.</x:v>
      </x:c>
      <x:c r="F49" s="17" t="str">
        <x:v>MKT Review</x:v>
      </x:c>
      <x:c r="G49" s="17" t="str">
        <x:v>High</x:v>
      </x:c>
      <x:c r="H49" s="44" t="str">
        <x:v>Not Run</x:v>
      </x:c>
      <x:c r="I49" s="45" t="str"/>
    </x:row>
    <x:row r="50" ht="48" customHeight="1">
      <x:c r="A50" s="43" t="str">
        <x:v>QUO-SIGN-002</x:v>
      </x:c>
      <x:c r="B50" s="43" t="str">
        <x:v>Quotation</x:v>
      </x:c>
      <x:c r="C50" s="43" t="str">
        <x:v>Authorization</x:v>
      </x:c>
      <x:c r="D50" s="23" t="str">
        <x:v>Người ký không có quyền hoặc chứng thư không hợp lệ.</x:v>
      </x:c>
      <x:c r="E50" s="23" t="str">
        <x:v>Từ chối ký và ghi audit lỗi.</x:v>
      </x:c>
      <x:c r="F50" s="43" t="str">
        <x:v>MKT Review</x:v>
      </x:c>
      <x:c r="G50" s="43" t="str">
        <x:v>High</x:v>
      </x:c>
      <x:c r="H50" s="44" t="str">
        <x:v>Not Run</x:v>
      </x:c>
      <x:c r="I50" s="45" t="str"/>
    </x:row>
    <x:row r="51" ht="48" customHeight="1">
      <x:c r="A51" s="17" t="str">
        <x:v>QUO-SIGN-003</x:v>
      </x:c>
      <x:c r="B51" s="17" t="str">
        <x:v>Quotation</x:v>
      </x:c>
      <x:c r="C51" s="17" t="str">
        <x:v>Signature</x:v>
      </x:c>
      <x:c r="D51" s="16" t="str">
        <x:v>Thay đổi quotation sau khi đã ký.</x:v>
      </x:c>
      <x:c r="E51" s="16" t="str">
        <x:v>Không dùng lại chữ ký cũ cho nội dung mới.</x:v>
      </x:c>
      <x:c r="F51" s="17" t="str">
        <x:v>Revision Required</x:v>
      </x:c>
      <x:c r="G51" s="17" t="str">
        <x:v>High</x:v>
      </x:c>
      <x:c r="H51" s="44" t="str">
        <x:v>Not Run</x:v>
      </x:c>
      <x:c r="I51" s="45" t="str"/>
    </x:row>
    <x:row r="52" ht="48" customHeight="1">
      <x:c r="A52" s="43" t="str">
        <x:v>QUO-SIGN-004</x:v>
      </x:c>
      <x:c r="B52" s="43" t="str">
        <x:v>Quotation</x:v>
      </x:c>
      <x:c r="C52" s="43" t="str">
        <x:v>Signature</x:v>
      </x:c>
      <x:c r="D52" s="23" t="str">
        <x:v>Ký lại quotation sau revise.</x:v>
      </x:c>
      <x:c r="E52" s="23" t="str">
        <x:v>Tạo version mới và giữ bản ký cũ trong history.</x:v>
      </x:c>
      <x:c r="F52" s="43" t="str">
        <x:v>FO Review</x:v>
      </x:c>
      <x:c r="G52" s="43" t="str">
        <x:v>High</x:v>
      </x:c>
      <x:c r="H52" s="44" t="str">
        <x:v>Not Run</x:v>
      </x:c>
      <x:c r="I52" s="45" t="str"/>
    </x:row>
    <x:row r="53" ht="48" customHeight="1">
      <x:c r="A53" s="17" t="str">
        <x:v>QUO-ATT-001</x:v>
      </x:c>
      <x:c r="B53" s="17" t="str">
        <x:v>Quotation</x:v>
      </x:c>
      <x:c r="C53" s="17" t="str">
        <x:v>Attachment</x:v>
      </x:c>
      <x:c r="D53" s="16" t="str">
        <x:v>Thiếu quotation attachment khi Submit.</x:v>
      </x:c>
      <x:c r="E53" s="16" t="str">
        <x:v>Validation chặn Submit.</x:v>
      </x:c>
      <x:c r="F53" s="17" t="str">
        <x:v>Unchanged</x:v>
      </x:c>
      <x:c r="G53" s="17" t="str">
        <x:v>High</x:v>
      </x:c>
      <x:c r="H53" s="44" t="str">
        <x:v>Not Run</x:v>
      </x:c>
      <x:c r="I53" s="45" t="str"/>
    </x:row>
    <x:row r="54" ht="48" customHeight="1">
      <x:c r="A54" s="43" t="str">
        <x:v>QUO-ATT-002</x:v>
      </x:c>
      <x:c r="B54" s="43" t="str">
        <x:v>Quotation</x:v>
      </x:c>
      <x:c r="C54" s="43" t="str">
        <x:v>Attachment</x:v>
      </x:c>
      <x:c r="D54" s="23" t="str">
        <x:v>Số quotation không khớp số file.</x:v>
      </x:c>
      <x:c r="E54" s="23" t="str">
        <x:v>Hiển thị lỗi hoặc tự count theo rule BRD.</x:v>
      </x:c>
      <x:c r="F54" s="43" t="str">
        <x:v>Unchanged</x:v>
      </x:c>
      <x:c r="G54" s="43" t="str">
        <x:v>High</x:v>
      </x:c>
      <x:c r="H54" s="44" t="str">
        <x:v>Not Run</x:v>
      </x:c>
      <x:c r="I54" s="45" t="str"/>
    </x:row>
    <x:row r="55" ht="48" customHeight="1">
      <x:c r="A55" s="17" t="str">
        <x:v>QUO-ATT-003</x:v>
      </x:c>
      <x:c r="B55" s="17" t="str">
        <x:v>Quotation</x:v>
      </x:c>
      <x:c r="C55" s="17" t="str">
        <x:v>Attachment</x:v>
      </x:c>
      <x:c r="D55" s="16" t="str">
        <x:v>Request tạo Q1, Q2 nhưng thiếu một file.</x:v>
      </x:c>
      <x:c r="E55" s="16" t="str">
        <x:v>Không gán sai file và báo thiếu rõ ràng.</x:v>
      </x:c>
      <x:c r="F55" s="17" t="str">
        <x:v>TS Process</x:v>
      </x:c>
      <x:c r="G55" s="17" t="str">
        <x:v>Medium</x:v>
      </x:c>
      <x:c r="H55" s="44" t="str">
        <x:v>Not Run</x:v>
      </x:c>
      <x:c r="I55" s="45" t="str"/>
    </x:row>
    <x:row r="56" ht="48" customHeight="1">
      <x:c r="A56" s="43" t="str">
        <x:v>QUO-END-001</x:v>
      </x:c>
      <x:c r="B56" s="43" t="str">
        <x:v>Quotation</x:v>
      </x:c>
      <x:c r="C56" s="43" t="str">
        <x:v>Idempotency</x:v>
      </x:c>
      <x:c r="D56" s="23" t="str">
        <x:v>Chạy action kết thúc hai lần.</x:v>
      </x:c>
      <x:c r="E56" s="23" t="str">
        <x:v>Lần hai bị chặn, không tạo log/instance trùng.</x:v>
      </x:c>
      <x:c r="F56" s="43" t="str">
        <x:v>Completed</x:v>
      </x:c>
      <x:c r="G56" s="43" t="str">
        <x:v>High</x:v>
      </x:c>
      <x:c r="H56" s="44" t="str">
        <x:v>Not Run</x:v>
      </x:c>
      <x:c r="I56" s="45" t="str"/>
    </x:row>
    <x:row r="57" ht="48" customHeight="1">
      <x:c r="A57" s="17" t="str">
        <x:v>QUO-END-002</x:v>
      </x:c>
      <x:c r="B57" s="17" t="str">
        <x:v>Quotation</x:v>
      </x:c>
      <x:c r="C57" s="17" t="str">
        <x:v>Database</x:v>
      </x:c>
      <x:c r="D57" s="16" t="str">
        <x:v>UI Completed nhưng runtime chưa cập nhật cờ kết thúc.</x:v>
      </x:c>
      <x:c r="E57" s="16" t="str">
        <x:v>CompletedDate có giá trị, IsCompleted = 1.</x:v>
      </x:c>
      <x:c r="F57" s="17" t="str">
        <x:v>Completed</x:v>
      </x:c>
      <x:c r="G57" s="17" t="str">
        <x:v>High</x:v>
      </x:c>
      <x:c r="H57" s="44" t="str">
        <x:v>Not Run</x:v>
      </x:c>
      <x:c r="I57" s="45" t="str"/>
    </x:row>
    <x:row r="58" ht="48" customHeight="1">
      <x:c r="A58" s="43" t="str">
        <x:v>PI-RET-001</x:v>
      </x:c>
      <x:c r="B58" s="43" t="str">
        <x:v>Policy Issuance</x:v>
      </x:c>
      <x:c r="C58" s="43" t="str">
        <x:v>Return</x:v>
      </x:c>
      <x:c r="D58" s="23" t="str">
        <x:v>PM Return FO do thiếu thông tin.</x:v>
      </x:c>
      <x:c r="E58" s="23" t="str">
        <x:v>Task về FO, ghi lý do và giữ checklist/attachment.</x:v>
      </x:c>
      <x:c r="F58" s="43" t="str">
        <x:v>FO Process</x:v>
      </x:c>
      <x:c r="G58" s="43" t="str">
        <x:v>High</x:v>
      </x:c>
      <x:c r="H58" s="44" t="str">
        <x:v>Not Run</x:v>
      </x:c>
      <x:c r="I58" s="45" t="str"/>
    </x:row>
    <x:row r="59" ht="48" customHeight="1">
      <x:c r="A59" s="17" t="str">
        <x:v>PI-RET-002</x:v>
      </x:c>
      <x:c r="B59" s="17" t="str">
        <x:v>Policy Issuance</x:v>
      </x:c>
      <x:c r="C59" s="17" t="str">
        <x:v>Return</x:v>
      </x:c>
      <x:c r="D59" s="16" t="str">
        <x:v>PM Return TS do checklist chưa đủ.</x:v>
      </x:c>
      <x:c r="E59" s="16" t="str">
        <x:v>Task về TS và chỉ rõ line checklist thiếu.</x:v>
      </x:c>
      <x:c r="F59" s="17" t="str">
        <x:v>TS Process</x:v>
      </x:c>
      <x:c r="G59" s="17" t="str">
        <x:v>High</x:v>
      </x:c>
      <x:c r="H59" s="44" t="str">
        <x:v>Not Run</x:v>
      </x:c>
      <x:c r="I59" s="45" t="str"/>
    </x:row>
    <x:row r="60" ht="48" customHeight="1">
      <x:c r="A60" s="43" t="str">
        <x:v>PI-RET-003</x:v>
      </x:c>
      <x:c r="B60" s="43" t="str">
        <x:v>Policy Issuance</x:v>
      </x:c>
      <x:c r="C60" s="43" t="str">
        <x:v>Routing</x:v>
      </x:c>
      <x:c r="D60" s="23" t="str">
        <x:v>Request tạo từ TS nhưng PM trả về FO.</x:v>
      </x:c>
      <x:c r="E60" s="23" t="str">
        <x:v>Định tuyến theo rule đã thống nhất; không trả sai owner.</x:v>
      </x:c>
      <x:c r="F60" s="43" t="str">
        <x:v>Need Confirmation</x:v>
      </x:c>
      <x:c r="G60" s="43" t="str">
        <x:v>High</x:v>
      </x:c>
      <x:c r="H60" s="44" t="str">
        <x:v>Not Run</x:v>
      </x:c>
      <x:c r="I60" s="45" t="str"/>
    </x:row>
    <x:row r="61" ht="48" customHeight="1">
      <x:c r="A61" s="17" t="str">
        <x:v>PI-RET-004</x:v>
      </x:c>
      <x:c r="B61" s="17" t="str">
        <x:v>Policy Issuance</x:v>
      </x:c>
      <x:c r="C61" s="17" t="str">
        <x:v>Revise</x:v>
      </x:c>
      <x:c r="D61" s="16" t="str">
        <x:v>FO revise request rồi resubmit PM.</x:v>
      </x:c>
      <x:c r="E61" s="16" t="str">
        <x:v>PM nhận phiên bản mới và lịch sử cũ còn nguyên.</x:v>
      </x:c>
      <x:c r="F61" s="17" t="str">
        <x:v>PM Pending</x:v>
      </x:c>
      <x:c r="G61" s="17" t="str">
        <x:v>High</x:v>
      </x:c>
      <x:c r="H61" s="44" t="str">
        <x:v>Not Run</x:v>
      </x:c>
      <x:c r="I61" s="45" t="str"/>
    </x:row>
    <x:row r="62" ht="48" customHeight="1">
      <x:c r="A62" s="43" t="str">
        <x:v>PI-RET-005</x:v>
      </x:c>
      <x:c r="B62" s="43" t="str">
        <x:v>Policy Issuance</x:v>
      </x:c>
      <x:c r="C62" s="43" t="str">
        <x:v>Revise</x:v>
      </x:c>
      <x:c r="D62" s="23" t="str">
        <x:v>TS revise request rồi resubmit PM.</x:v>
      </x:c>
      <x:c r="E62" s="23" t="str">
        <x:v>PM nhận task mới và loop count tăng.</x:v>
      </x:c>
      <x:c r="F62" s="43" t="str">
        <x:v>PM Pending</x:v>
      </x:c>
      <x:c r="G62" s="43" t="str">
        <x:v>High</x:v>
      </x:c>
      <x:c r="H62" s="44" t="str">
        <x:v>Not Run</x:v>
      </x:c>
      <x:c r="I62" s="45" t="str"/>
    </x:row>
    <x:row r="63" ht="48" customHeight="1">
      <x:c r="A63" s="17" t="str">
        <x:v>PI-RET-006</x:v>
      </x:c>
      <x:c r="B63" s="17" t="str">
        <x:v>Policy Issuance</x:v>
      </x:c>
      <x:c r="C63" s="17" t="str">
        <x:v>Return</x:v>
      </x:c>
      <x:c r="D63" s="16" t="str">
        <x:v>PM Return sau khi đã Accept.</x:v>
      </x:c>
      <x:c r="E63" s="16" t="str">
        <x:v>Đóng khoảng PM TAT hiện tại và trả task đúng người.</x:v>
      </x:c>
      <x:c r="F63" s="17" t="str">
        <x:v>FO or TS Process</x:v>
      </x:c>
      <x:c r="G63" s="17" t="str">
        <x:v>High</x:v>
      </x:c>
      <x:c r="H63" s="44" t="str">
        <x:v>Not Run</x:v>
      </x:c>
      <x:c r="I63" s="45" t="str"/>
    </x:row>
    <x:row r="64" ht="48" customHeight="1">
      <x:c r="A64" s="43" t="str">
        <x:v>PI-RET-007</x:v>
      </x:c>
      <x:c r="B64" s="43" t="str">
        <x:v>Policy Issuance</x:v>
      </x:c>
      <x:c r="C64" s="43" t="str">
        <x:v>TAT</x:v>
      </x:c>
      <x:c r="D64" s="23" t="str">
        <x:v>PM Accept lại sau resubmit.</x:v>
      </x:c>
      <x:c r="E64" s="23" t="str">
        <x:v>PM TAT dùng Accepted Date cuối và Submit Date đầu.</x:v>
      </x:c>
      <x:c r="F64" s="43" t="str">
        <x:v>PM Process</x:v>
      </x:c>
      <x:c r="G64" s="43" t="str">
        <x:v>High</x:v>
      </x:c>
      <x:c r="H64" s="44" t="str">
        <x:v>Not Run</x:v>
      </x:c>
      <x:c r="I64" s="45" t="str"/>
    </x:row>
    <x:row r="65" ht="48" customHeight="1">
      <x:c r="A65" s="17" t="str">
        <x:v>PI-RET-008</x:v>
      </x:c>
      <x:c r="B65" s="17" t="str">
        <x:v>Policy Issuance</x:v>
      </x:c>
      <x:c r="C65" s="17" t="str">
        <x:v>Version</x:v>
      </x:c>
      <x:c r="D65" s="16" t="str">
        <x:v>Return và resubmit nhiều vòng.</x:v>
      </x:c>
      <x:c r="E65" s="16" t="str">
        <x:v>Không mất attachment, checklist hoặc version trước.</x:v>
      </x:c>
      <x:c r="F65" s="17" t="str">
        <x:v>PM Pending</x:v>
      </x:c>
      <x:c r="G65" s="17" t="str">
        <x:v>High</x:v>
      </x:c>
      <x:c r="H65" s="44" t="str">
        <x:v>Not Run</x:v>
      </x:c>
      <x:c r="I65" s="45" t="str"/>
    </x:row>
    <x:row r="66" ht="48" customHeight="1">
      <x:c r="A66" s="43" t="str">
        <x:v>PI-WD-001</x:v>
      </x:c>
      <x:c r="B66" s="43" t="str">
        <x:v>Policy Issuance</x:v>
      </x:c>
      <x:c r="C66" s="43" t="str">
        <x:v>Withdraw</x:v>
      </x:c>
      <x:c r="D66" s="23" t="str">
        <x:v>FO Withdraw khi chưa Assign TS.</x:v>
      </x:c>
      <x:c r="E66" s="23" t="str">
        <x:v>Đóng request, ghi lý do và giữ liên kết quotation.</x:v>
      </x:c>
      <x:c r="F66" s="43" t="str">
        <x:v>Withdrawn</x:v>
      </x:c>
      <x:c r="G66" s="43" t="str">
        <x:v>High</x:v>
      </x:c>
      <x:c r="H66" s="44" t="str">
        <x:v>Not Run</x:v>
      </x:c>
      <x:c r="I66" s="45" t="str"/>
    </x:row>
    <x:row r="67" ht="48" customHeight="1">
      <x:c r="A67" s="17" t="str">
        <x:v>PI-WD-002</x:v>
      </x:c>
      <x:c r="B67" s="17" t="str">
        <x:v>Policy Issuance</x:v>
      </x:c>
      <x:c r="C67" s="17" t="str">
        <x:v>Withdraw</x:v>
      </x:c>
      <x:c r="D67" s="16" t="str">
        <x:v>FO Withdraw sau Assign TS nhưng TS chưa Accept.</x:v>
      </x:c>
      <x:c r="E67" s="16" t="str">
        <x:v>Đóng TS task và thông báo cho TS.</x:v>
      </x:c>
      <x:c r="F67" s="17" t="str">
        <x:v>Withdrawn</x:v>
      </x:c>
      <x:c r="G67" s="17" t="str">
        <x:v>High</x:v>
      </x:c>
      <x:c r="H67" s="44" t="str">
        <x:v>Not Run</x:v>
      </x:c>
      <x:c r="I67" s="45" t="str"/>
    </x:row>
    <x:row r="68" ht="48" customHeight="1">
      <x:c r="A68" s="43" t="str">
        <x:v>PI-WD-003</x:v>
      </x:c>
      <x:c r="B68" s="43" t="str">
        <x:v>Policy Issuance</x:v>
      </x:c>
      <x:c r="C68" s="43" t="str">
        <x:v>Withdraw</x:v>
      </x:c>
      <x:c r="D68" s="23" t="str">
        <x:v>TS Withdraw trước khi gửi PM.</x:v>
      </x:c>
      <x:c r="E68" s="23" t="str">
        <x:v>Đóng request, ghi lý do và thông báo FO.</x:v>
      </x:c>
      <x:c r="F68" s="43" t="str">
        <x:v>Withdrawn</x:v>
      </x:c>
      <x:c r="G68" s="43" t="str">
        <x:v>High</x:v>
      </x:c>
      <x:c r="H68" s="44" t="str">
        <x:v>Not Run</x:v>
      </x:c>
      <x:c r="I68" s="45" t="str"/>
    </x:row>
    <x:row r="69" ht="48" customHeight="1">
      <x:c r="A69" s="17" t="str">
        <x:v>PI-WD-004</x:v>
      </x:c>
      <x:c r="B69" s="17" t="str">
        <x:v>Policy Issuance</x:v>
      </x:c>
      <x:c r="C69" s="17" t="str">
        <x:v>Withdraw</x:v>
      </x:c>
      <x:c r="D69" s="16" t="str">
        <x:v>FO hoặc TS Withdraw khi PM chưa Accept.</x:v>
      </x:c>
      <x:c r="E69" s="16" t="str">
        <x:v>Đóng PM pending task và lưu audit.</x:v>
      </x:c>
      <x:c r="F69" s="17" t="str">
        <x:v>Withdrawn</x:v>
      </x:c>
      <x:c r="G69" s="17" t="str">
        <x:v>High</x:v>
      </x:c>
      <x:c r="H69" s="44" t="str">
        <x:v>Not Run</x:v>
      </x:c>
      <x:c r="I69" s="45" t="str"/>
    </x:row>
    <x:row r="70" ht="48" customHeight="1">
      <x:c r="A70" s="43" t="str">
        <x:v>PI-WD-005</x:v>
      </x:c>
      <x:c r="B70" s="43" t="str">
        <x:v>Policy Issuance</x:v>
      </x:c>
      <x:c r="C70" s="43" t="str">
        <x:v>Need Confirmation</x:v>
      </x:c>
      <x:c r="D70" s="23" t="str">
        <x:v>Withdraw khi PM đã Accept.</x:v>
      </x:c>
      <x:c r="E70" s="23" t="str">
        <x:v>Hành vi cần Business xác nhận.</x:v>
      </x:c>
      <x:c r="F70" s="43" t="str">
        <x:v>Need Confirmation</x:v>
      </x:c>
      <x:c r="G70" s="43" t="str">
        <x:v>High</x:v>
      </x:c>
      <x:c r="H70" s="44" t="str">
        <x:v>Not Run</x:v>
      </x:c>
      <x:c r="I70" s="45" t="str"/>
    </x:row>
    <x:row r="71" ht="48" customHeight="1">
      <x:c r="A71" s="17" t="str">
        <x:v>PI-WD-006</x:v>
      </x:c>
      <x:c r="B71" s="17" t="str">
        <x:v>Policy Issuance</x:v>
      </x:c>
      <x:c r="C71" s="17" t="str">
        <x:v>Need Confirmation</x:v>
      </x:c>
      <x:c r="D71" s="16" t="str">
        <x:v>Withdraw sau khi Policy đã Submit.</x:v>
      </x:c>
      <x:c r="E71" s="16" t="str">
        <x:v>Hành vi và xử lý Core PA cần Business xác nhận.</x:v>
      </x:c>
      <x:c r="F71" s="17" t="str">
        <x:v>Need Confirmation</x:v>
      </x:c>
      <x:c r="G71" s="17" t="str">
        <x:v>High</x:v>
      </x:c>
      <x:c r="H71" s="44" t="str">
        <x:v>Not Run</x:v>
      </x:c>
      <x:c r="I71" s="45" t="str"/>
    </x:row>
    <x:row r="72" ht="48" customHeight="1">
      <x:c r="A72" s="43" t="str">
        <x:v>PI-WD-007</x:v>
      </x:c>
      <x:c r="B72" s="43" t="str">
        <x:v>Policy Issuance</x:v>
      </x:c>
      <x:c r="C72" s="43" t="str">
        <x:v>Validation</x:v>
      </x:c>
      <x:c r="D72" s="23" t="str">
        <x:v>Withdraw không nhập lý do.</x:v>
      </x:c>
      <x:c r="E72" s="23" t="str">
        <x:v>Validation chặn action.</x:v>
      </x:c>
      <x:c r="F72" s="43" t="str">
        <x:v>Unchanged</x:v>
      </x:c>
      <x:c r="G72" s="43" t="str">
        <x:v>High</x:v>
      </x:c>
      <x:c r="H72" s="44" t="str">
        <x:v>Not Run</x:v>
      </x:c>
      <x:c r="I72" s="45" t="str"/>
    </x:row>
    <x:row r="73" ht="48" customHeight="1">
      <x:c r="A73" s="17" t="str">
        <x:v>PI-WD-008</x:v>
      </x:c>
      <x:c r="B73" s="17" t="str">
        <x:v>Policy Issuance</x:v>
      </x:c>
      <x:c r="C73" s="17" t="str">
        <x:v>Audit</x:v>
      </x:c>
      <x:c r="D73" s="16" t="str">
        <x:v>Withdraw request.</x:v>
      </x:c>
      <x:c r="E73" s="16" t="str">
        <x:v>Không xóa lịch sử quotation, PI và attachment.</x:v>
      </x:c>
      <x:c r="F73" s="17" t="str">
        <x:v>Withdrawn</x:v>
      </x:c>
      <x:c r="G73" s="17" t="str">
        <x:v>High</x:v>
      </x:c>
      <x:c r="H73" s="44" t="str">
        <x:v>Not Run</x:v>
      </x:c>
      <x:c r="I73" s="45" t="str"/>
    </x:row>
    <x:row r="74" ht="48" customHeight="1">
      <x:c r="A74" s="43" t="str">
        <x:v>PI-CAN-001</x:v>
      </x:c>
      <x:c r="B74" s="43" t="str">
        <x:v>Policy Issuance</x:v>
      </x:c>
      <x:c r="C74" s="43" t="str">
        <x:v>Cancel</x:v>
      </x:c>
      <x:c r="D74" s="23" t="str">
        <x:v>Cancel PI do quotation bị hủy.</x:v>
      </x:c>
      <x:c r="E74" s="23" t="str">
        <x:v>PI đóng và giữ liên kết nguồn.</x:v>
      </x:c>
      <x:c r="F74" s="43" t="str">
        <x:v>Cancelled</x:v>
      </x:c>
      <x:c r="G74" s="43" t="str">
        <x:v>High</x:v>
      </x:c>
      <x:c r="H74" s="44" t="str">
        <x:v>Not Run</x:v>
      </x:c>
      <x:c r="I74" s="45" t="str"/>
    </x:row>
    <x:row r="75" ht="48" customHeight="1">
      <x:c r="A75" s="17" t="str">
        <x:v>PI-CAN-002</x:v>
      </x:c>
      <x:c r="B75" s="17" t="str">
        <x:v>Policy Issuance</x:v>
      </x:c>
      <x:c r="C75" s="17" t="str">
        <x:v>Cancel</x:v>
      </x:c>
      <x:c r="D75" s="16" t="str">
        <x:v>Cancel PI do quotation hết hiệu lực.</x:v>
      </x:c>
      <x:c r="E75" s="16" t="str">
        <x:v>Ghi lý do và không cho tiếp tục Submit.</x:v>
      </x:c>
      <x:c r="F75" s="17" t="str">
        <x:v>Cancelled</x:v>
      </x:c>
      <x:c r="G75" s="17" t="str">
        <x:v>Medium</x:v>
      </x:c>
      <x:c r="H75" s="44" t="str">
        <x:v>Not Run</x:v>
      </x:c>
      <x:c r="I75" s="45" t="str"/>
    </x:row>
    <x:row r="76" ht="48" customHeight="1">
      <x:c r="A76" s="43" t="str">
        <x:v>PI-CAN-003</x:v>
      </x:c>
      <x:c r="B76" s="43" t="str">
        <x:v>Policy Issuance</x:v>
      </x:c>
      <x:c r="C76" s="43" t="str">
        <x:v>Validation</x:v>
      </x:c>
      <x:c r="D76" s="23" t="str">
        <x:v>Tạo PI từ quotation Declined hoặc Cancelled.</x:v>
      </x:c>
      <x:c r="E76" s="23" t="str">
        <x:v>Hệ thống chặn tạo PI.</x:v>
      </x:c>
      <x:c r="F76" s="43" t="str">
        <x:v>Not Created</x:v>
      </x:c>
      <x:c r="G76" s="43" t="str">
        <x:v>High</x:v>
      </x:c>
      <x:c r="H76" s="44" t="str">
        <x:v>Not Run</x:v>
      </x:c>
      <x:c r="I76" s="45" t="str"/>
    </x:row>
    <x:row r="77" ht="48" customHeight="1">
      <x:c r="A77" s="17" t="str">
        <x:v>PI-CAN-004</x:v>
      </x:c>
      <x:c r="B77" s="17" t="str">
        <x:v>Policy Issuance</x:v>
      </x:c>
      <x:c r="C77" s="17" t="str">
        <x:v>Duplicate</x:v>
      </x:c>
      <x:c r="D77" s="16" t="str">
        <x:v>Tạo PI thứ hai khi quotation đã có PI active.</x:v>
      </x:c>
      <x:c r="E77" s="16" t="str">
        <x:v>Hệ thống chặn hoặc cảnh báo theo rule một quotation một PI.</x:v>
      </x:c>
      <x:c r="F77" s="17" t="str">
        <x:v>Not Created</x:v>
      </x:c>
      <x:c r="G77" s="17" t="str">
        <x:v>High</x:v>
      </x:c>
      <x:c r="H77" s="44" t="str">
        <x:v>Not Run</x:v>
      </x:c>
      <x:c r="I77" s="45" t="str"/>
    </x:row>
    <x:row r="78" ht="48" customHeight="1">
      <x:c r="A78" s="43" t="str">
        <x:v>PI-CHK-001</x:v>
      </x:c>
      <x:c r="B78" s="43" t="str">
        <x:v>Policy Issuance</x:v>
      </x:c>
      <x:c r="C78" s="43" t="str">
        <x:v>Checklist</x:v>
      </x:c>
      <x:c r="D78" s="23" t="str">
        <x:v>PM Accept khi checklist chưa hoàn tất.</x:v>
      </x:c>
      <x:c r="E78" s="23" t="str">
        <x:v>Hệ thống chặn Accept.</x:v>
      </x:c>
      <x:c r="F78" s="43" t="str">
        <x:v>PM Pending</x:v>
      </x:c>
      <x:c r="G78" s="43" t="str">
        <x:v>High</x:v>
      </x:c>
      <x:c r="H78" s="44" t="str">
        <x:v>Not Run</x:v>
      </x:c>
      <x:c r="I78" s="45" t="str"/>
    </x:row>
    <x:row r="79" ht="48" customHeight="1">
      <x:c r="A79" s="17" t="str">
        <x:v>PI-CHK-002</x:v>
      </x:c>
      <x:c r="B79" s="17" t="str">
        <x:v>Policy Issuance</x:v>
      </x:c>
      <x:c r="C79" s="17" t="str">
        <x:v>Checklist</x:v>
      </x:c>
      <x:c r="D79" s="16" t="str">
        <x:v>Checklist thiếu một line bắt buộc.</x:v>
      </x:c>
      <x:c r="E79" s="16" t="str">
        <x:v>Chỉ rõ line thiếu và không cho Accept.</x:v>
      </x:c>
      <x:c r="F79" s="17" t="str">
        <x:v>PM Pending</x:v>
      </x:c>
      <x:c r="G79" s="17" t="str">
        <x:v>High</x:v>
      </x:c>
      <x:c r="H79" s="44" t="str">
        <x:v>Not Run</x:v>
      </x:c>
      <x:c r="I79" s="45" t="str"/>
    </x:row>
    <x:row r="80" ht="48" customHeight="1">
      <x:c r="A80" s="43" t="str">
        <x:v>PI-SUB-001</x:v>
      </x:c>
      <x:c r="B80" s="43" t="str">
        <x:v>Integration</x:v>
      </x:c>
      <x:c r="C80" s="43" t="str">
        <x:v>Core PA</x:v>
      </x:c>
      <x:c r="D80" s="23" t="str">
        <x:v>Submit Policy khi Core PA không phản hồi.</x:v>
      </x:c>
      <x:c r="E80" s="23" t="str">
        <x:v>Không complete; hiển thị lỗi và cho phép retry an toàn.</x:v>
      </x:c>
      <x:c r="F80" s="43" t="str">
        <x:v>PM Process</x:v>
      </x:c>
      <x:c r="G80" s="43" t="str">
        <x:v>High</x:v>
      </x:c>
      <x:c r="H80" s="44" t="str">
        <x:v>Not Run</x:v>
      </x:c>
      <x:c r="I80" s="45" t="str"/>
    </x:row>
    <x:row r="81" ht="48" customHeight="1">
      <x:c r="A81" s="17" t="str">
        <x:v>PI-SUB-002</x:v>
      </x:c>
      <x:c r="B81" s="17" t="str">
        <x:v>Integration</x:v>
      </x:c>
      <x:c r="C81" s="17" t="str">
        <x:v>Core PA</x:v>
      </x:c>
      <x:c r="D81" s="16" t="str">
        <x:v>Quotation No không tồn tại trong Core PA.</x:v>
      </x:c>
      <x:c r="E81" s="16" t="str">
        <x:v>Không tạo mapping sai và hiển thị lỗi.</x:v>
      </x:c>
      <x:c r="F81" s="17" t="str">
        <x:v>PM Process</x:v>
      </x:c>
      <x:c r="G81" s="17" t="str">
        <x:v>High</x:v>
      </x:c>
      <x:c r="H81" s="44" t="str">
        <x:v>Not Run</x:v>
      </x:c>
      <x:c r="I81" s="45" t="str"/>
    </x:row>
    <x:row r="82" ht="48" customHeight="1">
      <x:c r="A82" s="43" t="str">
        <x:v>PI-SUB-003</x:v>
      </x:c>
      <x:c r="B82" s="43" t="str">
        <x:v>Integration</x:v>
      </x:c>
      <x:c r="C82" s="43" t="str">
        <x:v>Core PA</x:v>
      </x:c>
      <x:c r="D82" s="23" t="str">
        <x:v>Core PA trả Policy No trùng.</x:v>
      </x:c>
      <x:c r="E82" s="23" t="str">
        <x:v>Chặn mapping trùng và ghi lỗi.</x:v>
      </x:c>
      <x:c r="F82" s="43" t="str">
        <x:v>PM Process</x:v>
      </x:c>
      <x:c r="G82" s="43" t="str">
        <x:v>High</x:v>
      </x:c>
      <x:c r="H82" s="44" t="str">
        <x:v>Not Run</x:v>
      </x:c>
      <x:c r="I82" s="45" t="str"/>
    </x:row>
    <x:row r="83" ht="48" customHeight="1">
      <x:c r="A83" s="17" t="str">
        <x:v>PI-SUB-004</x:v>
      </x:c>
      <x:c r="B83" s="17" t="str">
        <x:v>Integration</x:v>
      </x:c>
      <x:c r="C83" s="17" t="str">
        <x:v>Core PA</x:v>
      </x:c>
      <x:c r="D83" s="16" t="str">
        <x:v>Policy No tạo thành công nhưng không sync về workflow.</x:v>
      </x:c>
      <x:c r="E83" s="16" t="str">
        <x:v>Retry/reconcile không tạo policy thứ hai.</x:v>
      </x:c>
      <x:c r="F83" s="17" t="str">
        <x:v>Submit Pending Sync</x:v>
      </x:c>
      <x:c r="G83" s="17" t="str">
        <x:v>High</x:v>
      </x:c>
      <x:c r="H83" s="44" t="str">
        <x:v>Not Run</x:v>
      </x:c>
      <x:c r="I83" s="45" t="str"/>
    </x:row>
    <x:row r="84" ht="48" customHeight="1">
      <x:c r="A84" s="43" t="str">
        <x:v>PI-FU-001</x:v>
      </x:c>
      <x:c r="B84" s="43" t="str">
        <x:v>Policy Issuance</x:v>
      </x:c>
      <x:c r="C84" s="43" t="str">
        <x:v>Follow Up</x:v>
      </x:c>
      <x:c r="D84" s="23" t="str">
        <x:v>Submit but follow up nhưng không Assign FO/TS.</x:v>
      </x:c>
      <x:c r="E84" s="23" t="str">
        <x:v>Hệ thống yêu cầu owner trước khi chuyển bước.</x:v>
      </x:c>
      <x:c r="F84" s="43" t="str">
        <x:v>Submit but follow up</x:v>
      </x:c>
      <x:c r="G84" s="43" t="str">
        <x:v>High</x:v>
      </x:c>
      <x:c r="H84" s="44" t="str">
        <x:v>Not Run</x:v>
      </x:c>
      <x:c r="I84" s="45" t="str"/>
    </x:row>
    <x:row r="85" ht="48" customHeight="1">
      <x:c r="A85" s="17" t="str">
        <x:v>PI-FU-002</x:v>
      </x:c>
      <x:c r="B85" s="17" t="str">
        <x:v>Policy Issuance</x:v>
      </x:c>
      <x:c r="C85" s="17" t="str">
        <x:v>Follow Up</x:v>
      </x:c>
      <x:c r="D85" s="16" t="str">
        <x:v>Submit follow-up document thiếu attachment.</x:v>
      </x:c>
      <x:c r="E85" s="16" t="str">
        <x:v>Validation chặn Submit.</x:v>
      </x:c>
      <x:c r="F85" s="17" t="str">
        <x:v>Follow Up</x:v>
      </x:c>
      <x:c r="G85" s="17" t="str">
        <x:v>High</x:v>
      </x:c>
      <x:c r="H85" s="44" t="str">
        <x:v>Not Run</x:v>
      </x:c>
      <x:c r="I85" s="45" t="str"/>
    </x:row>
    <x:row r="86" ht="48" customHeight="1">
      <x:c r="A86" s="43" t="str">
        <x:v>PI-FU-003</x:v>
      </x:c>
      <x:c r="B86" s="43" t="str">
        <x:v>Policy Issuance</x:v>
      </x:c>
      <x:c r="C86" s="43" t="str">
        <x:v>Follow Up</x:v>
      </x:c>
      <x:c r="D86" s="23" t="str">
        <x:v>Khách hàng chưa gửi bản ký trả.</x:v>
      </x:c>
      <x:c r="E86" s="23" t="str">
        <x:v>Giữ follow-up mở và gửi reminder theo cấu hình.</x:v>
      </x:c>
      <x:c r="F86" s="43" t="str">
        <x:v>Follow Up</x:v>
      </x:c>
      <x:c r="G86" s="43" t="str">
        <x:v>Medium</x:v>
      </x:c>
      <x:c r="H86" s="44" t="str">
        <x:v>Not Run</x:v>
      </x:c>
      <x:c r="I86" s="45" t="str"/>
    </x:row>
    <x:row r="87" ht="48" customHeight="1">
      <x:c r="A87" s="17" t="str">
        <x:v>PI-FU-004</x:v>
      </x:c>
      <x:c r="B87" s="17" t="str">
        <x:v>Policy Issuance</x:v>
      </x:c>
      <x:c r="C87" s="17" t="str">
        <x:v>Follow Up</x:v>
      </x:c>
      <x:c r="D87" s="16" t="str">
        <x:v>Follow-up nhiều vòng.</x:v>
      </x:c>
      <x:c r="E87" s="16" t="str">
        <x:v>Mỗi vòng có lịch sử, attachment và thời gian riêng.</x:v>
      </x:c>
      <x:c r="F87" s="17" t="str">
        <x:v>Follow Up</x:v>
      </x:c>
      <x:c r="G87" s="17" t="str">
        <x:v>Medium</x:v>
      </x:c>
      <x:c r="H87" s="44" t="str">
        <x:v>Not Run</x:v>
      </x:c>
      <x:c r="I87" s="45" t="str"/>
    </x:row>
    <x:row r="88" ht="48" customHeight="1">
      <x:c r="A88" s="43" t="str">
        <x:v>PI-FU-005</x:v>
      </x:c>
      <x:c r="B88" s="43" t="str">
        <x:v>Policy Issuance</x:v>
      </x:c>
      <x:c r="C88" s="43" t="str">
        <x:v>Validation</x:v>
      </x:c>
      <x:c r="D88" s="23" t="str">
        <x:v>PM Complete khi còn follow-up mở.</x:v>
      </x:c>
      <x:c r="E88" s="23" t="str">
        <x:v>Hệ thống chặn Complete.</x:v>
      </x:c>
      <x:c r="F88" s="43" t="str">
        <x:v>Submit but follow up</x:v>
      </x:c>
      <x:c r="G88" s="43" t="str">
        <x:v>High</x:v>
      </x:c>
      <x:c r="H88" s="44" t="str">
        <x:v>Not Run</x:v>
      </x:c>
      <x:c r="I88" s="45" t="str"/>
    </x:row>
    <x:row r="89" ht="48" customHeight="1">
      <x:c r="A89" s="17" t="str">
        <x:v>PI-END-001</x:v>
      </x:c>
      <x:c r="B89" s="17" t="str">
        <x:v>Policy Issuance</x:v>
      </x:c>
      <x:c r="C89" s="17" t="str">
        <x:v>Database</x:v>
      </x:c>
      <x:c r="D89" s="16" t="str">
        <x:v>UI Completed nhưng runtime chưa cập nhật cờ kết thúc.</x:v>
      </x:c>
      <x:c r="E89" s="16" t="str">
        <x:v>CompletedDate có giá trị, IsCompleted = 1.</x:v>
      </x:c>
      <x:c r="F89" s="17" t="str">
        <x:v>Completed</x:v>
      </x:c>
      <x:c r="G89" s="17" t="str">
        <x:v>High</x:v>
      </x:c>
      <x:c r="H89" s="44" t="str">
        <x:v>Not Run</x:v>
      </x:c>
      <x:c r="I89" s="45" t="str"/>
    </x:row>
    <x:row r="90" ht="48" customHeight="1">
      <x:c r="A90" s="43" t="str">
        <x:v>PI-END-002</x:v>
      </x:c>
      <x:c r="B90" s="43" t="str">
        <x:v>Policy Issuance</x:v>
      </x:c>
      <x:c r="C90" s="43" t="str">
        <x:v>Idempotency</x:v>
      </x:c>
      <x:c r="D90" s="23" t="str">
        <x:v>Chạy Complete lần hai.</x:v>
      </x:c>
      <x:c r="E90" s="23" t="str">
        <x:v>Lần hai bị chặn, không tạo log/instance trùng.</x:v>
      </x:c>
      <x:c r="F90" s="43" t="str">
        <x:v>Completed</x:v>
      </x:c>
      <x:c r="G90" s="43" t="str">
        <x:v>High</x:v>
      </x:c>
      <x:c r="H90" s="44" t="str">
        <x:v>Not Run</x:v>
      </x:c>
      <x:c r="I90" s="45" t="str"/>
    </x:row>
  </x:sheetData>
  <x:mergeCells>
    <x:mergeCell ref="A1:I1"/>
    <x:mergeCell ref="A2:I2"/>
  </x:mergeCells>
  <x:conditionalFormatting sqref="H6:H90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Blocked"/>
  </x:conditionalFormatting>
  <x:dataValidations count="1">
    <x:dataValidation type="list" sqref="H6:H90">
      <x:formula1>"Not Run,Pass,Fail,Blocked"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Assign Accept</x:v>
      </x:c>
    </x:row>
    <x:row r="2" ht="26" customHeight="1">
      <x:c r="A2" s="5" t="str">
        <x:v>Routing, authorization, concurrency và TAT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ASN-001</x:v>
      </x:c>
      <x:c r="B6" s="43" t="str">
        <x:v>Quotation</x:v>
      </x:c>
      <x:c r="C6" s="43" t="str">
        <x:v>Assign Accept</x:v>
      </x:c>
      <x:c r="D6" s="23" t="str">
        <x:v>FO Assign TS làm quotation.</x:v>
      </x:c>
      <x:c r="E6" s="23" t="str">
        <x:v>TS nhận task, notification và status TS Pending.</x:v>
      </x:c>
      <x:c r="F6" s="43" t="str">
        <x:v>TS Pending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ASN-002</x:v>
      </x:c>
      <x:c r="B7" s="17" t="str">
        <x:v>Quotation</x:v>
      </x:c>
      <x:c r="C7" s="17" t="str">
        <x:v>Assign Accept</x:v>
      </x:c>
      <x:c r="D7" s="16" t="str">
        <x:v>TS Accept quotation task.</x:v>
      </x:c>
      <x:c r="E7" s="16" t="str">
        <x:v>Ghi Accepted Date, owner TS và status TS Process.</x:v>
      </x:c>
      <x:c r="F7" s="17" t="str">
        <x:v>TS Process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ASN-003</x:v>
      </x:c>
      <x:c r="B8" s="43" t="str">
        <x:v>Quotation</x:v>
      </x:c>
      <x:c r="C8" s="43" t="str">
        <x:v>Assign Accept</x:v>
      </x:c>
      <x:c r="D8" s="23" t="str">
        <x:v>FO Assign UW referral.</x:v>
      </x:c>
      <x:c r="E8" s="23" t="str">
        <x:v>UW nhận task và notification.</x:v>
      </x:c>
      <x:c r="F8" s="43" t="str">
        <x:v>UW Pending</x:v>
      </x:c>
      <x:c r="G8" s="43" t="str">
        <x:v>High</x:v>
      </x:c>
      <x:c r="H8" s="44" t="str">
        <x:v>Not Run</x:v>
      </x:c>
      <x:c r="I8" s="45" t="str"/>
    </x:row>
    <x:row r="9" ht="48" customHeight="1">
      <x:c r="A9" s="17" t="str">
        <x:v>ASN-004</x:v>
      </x:c>
      <x:c r="B9" s="17" t="str">
        <x:v>Quotation</x:v>
      </x:c>
      <x:c r="C9" s="17" t="str">
        <x:v>Assign Accept</x:v>
      </x:c>
      <x:c r="D9" s="16" t="str">
        <x:v>UW Accept referral task.</x:v>
      </x:c>
      <x:c r="E9" s="16" t="str">
        <x:v>Ghi Accepted Date và bắt đầu UW TAT.</x:v>
      </x:c>
      <x:c r="F9" s="17" t="str">
        <x:v>UW Process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ASN-005</x:v>
      </x:c>
      <x:c r="B10" s="43" t="str">
        <x:v>Quotation</x:v>
      </x:c>
      <x:c r="C10" s="43" t="str">
        <x:v>Assign Accept</x:v>
      </x:c>
      <x:c r="D10" s="23" t="str">
        <x:v>FO Submit quotation sang LMKT/MGR.</x:v>
      </x:c>
      <x:c r="E10" s="23" t="str">
        <x:v>LMKT nhận task phê duyệt và ký.</x:v>
      </x:c>
      <x:c r="F10" s="43" t="str">
        <x:v>MKT Review</x:v>
      </x:c>
      <x:c r="G10" s="43" t="str">
        <x:v>High</x:v>
      </x:c>
      <x:c r="H10" s="44" t="str">
        <x:v>Not Run</x:v>
      </x:c>
      <x:c r="I10" s="45" t="str"/>
    </x:row>
    <x:row r="11" ht="48" customHeight="1">
      <x:c r="A11" s="17" t="str">
        <x:v>ASN-006</x:v>
      </x:c>
      <x:c r="B11" s="17" t="str">
        <x:v>Policy Issuance</x:v>
      </x:c>
      <x:c r="C11" s="17" t="str">
        <x:v>Assign Accept</x:v>
      </x:c>
      <x:c r="D11" s="16" t="str">
        <x:v>FO Assign TS làm Policy Issuance.</x:v>
      </x:c>
      <x:c r="E11" s="16" t="str">
        <x:v>TS nhận task và status TS Pending.</x:v>
      </x:c>
      <x:c r="F11" s="17" t="str">
        <x:v>TS Pending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ASN-007</x:v>
      </x:c>
      <x:c r="B12" s="43" t="str">
        <x:v>Policy Issuance</x:v>
      </x:c>
      <x:c r="C12" s="43" t="str">
        <x:v>Assign Accept</x:v>
      </x:c>
      <x:c r="D12" s="23" t="str">
        <x:v>TS Accept Policy Issuance task.</x:v>
      </x:c>
      <x:c r="E12" s="23" t="str">
        <x:v>Ghi Accepted Date và bắt đầu TS TAT.</x:v>
      </x:c>
      <x:c r="F12" s="43" t="str">
        <x:v>TS Process</x:v>
      </x:c>
      <x:c r="G12" s="43" t="str">
        <x:v>High</x:v>
      </x:c>
      <x:c r="H12" s="44" t="str">
        <x:v>Not Run</x:v>
      </x:c>
      <x:c r="I12" s="45" t="str"/>
    </x:row>
    <x:row r="13" ht="48" customHeight="1">
      <x:c r="A13" s="17" t="str">
        <x:v>ASN-008</x:v>
      </x:c>
      <x:c r="B13" s="17" t="str">
        <x:v>Policy Issuance</x:v>
      </x:c>
      <x:c r="C13" s="17" t="str">
        <x:v>Assign Accept</x:v>
      </x:c>
      <x:c r="D13" s="16" t="str">
        <x:v>FO hoặc TS Submit PI sang PM.</x:v>
      </x:c>
      <x:c r="E13" s="16" t="str">
        <x:v>PM nhận task và notification.</x:v>
      </x:c>
      <x:c r="F13" s="17" t="str">
        <x:v>PM Pending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ASN-009</x:v>
      </x:c>
      <x:c r="B14" s="43" t="str">
        <x:v>Policy Issuance</x:v>
      </x:c>
      <x:c r="C14" s="43" t="str">
        <x:v>Assign Accept</x:v>
      </x:c>
      <x:c r="D14" s="23" t="str">
        <x:v>PM hoàn tất checklist validation rồi Accept.</x:v>
      </x:c>
      <x:c r="E14" s="23" t="str">
        <x:v>PM Accept thành công và bắt đầu PM TAT.</x:v>
      </x:c>
      <x:c r="F14" s="43" t="str">
        <x:v>PM Process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ASN-010</x:v>
      </x:c>
      <x:c r="B15" s="17" t="str">
        <x:v>Policy Issuance</x:v>
      </x:c>
      <x:c r="C15" s="17" t="str">
        <x:v>Assign Accept</x:v>
      </x:c>
      <x:c r="D15" s="16" t="str">
        <x:v>PM reassign cho PM PIC khác.</x:v>
      </x:c>
      <x:c r="E15" s="16" t="str">
        <x:v>Owner thay đổi, audit và notification đầy đủ.</x:v>
      </x:c>
      <x:c r="F15" s="17" t="str">
        <x:v>PM Process</x:v>
      </x:c>
      <x:c r="G15" s="17" t="str">
        <x:v>Medium</x:v>
      </x:c>
      <x:c r="H15" s="44" t="str">
        <x:v>Not Run</x:v>
      </x:c>
      <x:c r="I15" s="45" t="str"/>
    </x:row>
    <x:row r="16" ht="48" customHeight="1">
      <x:c r="A16" s="43" t="str">
        <x:v>ASN-011</x:v>
      </x:c>
      <x:c r="B16" s="43" t="str">
        <x:v>Common</x:v>
      </x:c>
      <x:c r="C16" s="43" t="str">
        <x:v>Authorization</x:v>
      </x:c>
      <x:c r="D16" s="23" t="str">
        <x:v>Người không đúng role thực hiện Accept.</x:v>
      </x:c>
      <x:c r="E16" s="23" t="str">
        <x:v>Hệ thống từ chối và không đổi owner/status.</x:v>
      </x:c>
      <x:c r="F16" s="43" t="str">
        <x:v>Unchanged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ASN-012</x:v>
      </x:c>
      <x:c r="B17" s="17" t="str">
        <x:v>Common</x:v>
      </x:c>
      <x:c r="C17" s="17" t="str">
        <x:v>Concurrency</x:v>
      </x:c>
      <x:c r="D17" s="16" t="str">
        <x:v>Hai người Accept cùng một task gần đồng thời.</x:v>
      </x:c>
      <x:c r="E17" s="16" t="str">
        <x:v>Chỉ một người thành owner; không tạo xử lý trùng.</x:v>
      </x:c>
      <x:c r="F17" s="17" t="str">
        <x:v>In Progress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ASN-013</x:v>
      </x:c>
      <x:c r="B18" s="43" t="str">
        <x:v>Common</x:v>
      </x:c>
      <x:c r="C18" s="43" t="str">
        <x:v>TAT</x:v>
      </x:c>
      <x:c r="D18" s="23" t="str">
        <x:v>Assign task và gửi notification.</x:v>
      </x:c>
      <x:c r="E18" s="23" t="str">
        <x:v>Notification Time được lưu đúng thời điểm.</x:v>
      </x:c>
      <x:c r="F18" s="43" t="str">
        <x:v>Pending</x:v>
      </x:c>
      <x:c r="G18" s="43" t="str">
        <x:v>Medium</x:v>
      </x:c>
      <x:c r="H18" s="44" t="str">
        <x:v>Not Run</x:v>
      </x:c>
      <x:c r="I18" s="45" t="str"/>
    </x:row>
    <x:row r="19" ht="48" customHeight="1">
      <x:c r="A19" s="17" t="str">
        <x:v>ASN-014</x:v>
      </x:c>
      <x:c r="B19" s="17" t="str">
        <x:v>Common</x:v>
      </x:c>
      <x:c r="C19" s="17" t="str">
        <x:v>TAT</x:v>
      </x:c>
      <x:c r="D19" s="16" t="str">
        <x:v>User Accept task.</x:v>
      </x:c>
      <x:c r="E19" s="16" t="str">
        <x:v>Accepted Date được lưu đúng thời điểm.</x:v>
      </x:c>
      <x:c r="F19" s="17" t="str">
        <x:v>In Progress</x:v>
      </x:c>
      <x:c r="G19" s="17" t="str">
        <x:v>Medium</x:v>
      </x:c>
      <x:c r="H19" s="44" t="str">
        <x:v>Not Run</x:v>
      </x:c>
      <x:c r="I19" s="45" t="str"/>
    </x:row>
    <x:row r="20" ht="48" customHeight="1">
      <x:c r="A20" s="43" t="str">
        <x:v>ASN-015</x:v>
      </x:c>
      <x:c r="B20" s="43" t="str">
        <x:v>Common</x:v>
      </x:c>
      <x:c r="C20" s="43" t="str">
        <x:v>TAT</x:v>
      </x:c>
      <x:c r="D20" s="23" t="str">
        <x:v>Tính Gap TAT sau Accept.</x:v>
      </x:c>
      <x:c r="E20" s="23" t="str">
        <x:v>Gap TAT bằng Accept Time trừ Notification Time.</x:v>
      </x:c>
      <x:c r="F20" s="43" t="str">
        <x:v>Calculated</x:v>
      </x:c>
      <x:c r="G20" s="43" t="str">
        <x:v>Medium</x:v>
      </x:c>
      <x:c r="H20" s="44" t="str">
        <x:v>Not Run</x:v>
      </x:c>
      <x:c r="I20" s="45" t="str"/>
    </x:row>
    <x:row r="21" ht="48" customHeight="1">
      <x:c r="A21" s="17" t="str">
        <x:v>ASN-016</x:v>
      </x:c>
      <x:c r="B21" s="17" t="str">
        <x:v>Common</x:v>
      </x:c>
      <x:c r="C21" s="17" t="str">
        <x:v>TAT</x:v>
      </x:c>
      <x:c r="D21" s="16" t="str">
        <x:v>Return rồi Accept lại.</x:v>
      </x:c>
      <x:c r="E21" s="16" t="str">
        <x:v>TAT dùng Accepted Date cuối cùng.</x:v>
      </x:c>
      <x:c r="F21" s="17" t="str">
        <x:v>Calculated</x:v>
      </x:c>
      <x:c r="G21" s="17" t="str">
        <x:v>High</x:v>
      </x:c>
      <x:c r="H21" s="44" t="str">
        <x:v>Not Run</x:v>
      </x:c>
      <x:c r="I21" s="45" t="str"/>
    </x:row>
  </x:sheetData>
  <x:mergeCells>
    <x:mergeCell ref="A1:I1"/>
    <x:mergeCell ref="A2:I2"/>
  </x:mergeCells>
  <x:conditionalFormatting sqref="H6:H21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Blocked"/>
  </x:conditionalFormatting>
  <x:dataValidations count="1">
    <x:dataValidation type="list" sqref="H6:H21">
      <x:formula1>"Not Run,Pass,Fail,Blocked"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Quotation Exceptions</x:v>
      </x:c>
    </x:row>
    <x:row r="2" ht="26" customHeight="1">
      <x:c r="A2" s="5" t="str">
        <x:v>Return, revise, cancel, decline, ký số và attachment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QUO-RET-001</x:v>
      </x:c>
      <x:c r="B6" s="43" t="str">
        <x:v>Quotation</x:v>
      </x:c>
      <x:c r="C6" s="43" t="str">
        <x:v>Return</x:v>
      </x:c>
      <x:c r="D6" s="23" t="str">
        <x:v>TS trả FO do thiếu thông tin.</x:v>
      </x:c>
      <x:c r="E6" s="23" t="str">
        <x:v>Task về FO, ghi lý do và giữ dữ liệu đã nhập.</x:v>
      </x:c>
      <x:c r="F6" s="43" t="str">
        <x:v>FO Process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QUO-RET-002</x:v>
      </x:c>
      <x:c r="B7" s="17" t="str">
        <x:v>Quotation</x:v>
      </x:c>
      <x:c r="C7" s="17" t="str">
        <x:v>Resubmit</x:v>
      </x:c>
      <x:c r="D7" s="16" t="str">
        <x:v>FO bổ sung rồi gửi lại TS.</x:v>
      </x:c>
      <x:c r="E7" s="16" t="str">
        <x:v>TS nhận vòng xử lý mới; loop count tăng.</x:v>
      </x:c>
      <x:c r="F7" s="17" t="str">
        <x:v>TS Pending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QUO-RET-003</x:v>
      </x:c>
      <x:c r="B8" s="43" t="str">
        <x:v>Quotation</x:v>
      </x:c>
      <x:c r="C8" s="43" t="str">
        <x:v>Revise</x:v>
      </x:c>
      <x:c r="D8" s="23" t="str">
        <x:v>FO yêu cầu TS revise quotation.</x:v>
      </x:c>
      <x:c r="E8" s="23" t="str">
        <x:v>Tạo vòng xử lý mới, không ghi đè lịch sử cũ.</x:v>
      </x:c>
      <x:c r="F8" s="43" t="str">
        <x:v>TS Process</x:v>
      </x:c>
      <x:c r="G8" s="43" t="str">
        <x:v>High</x:v>
      </x:c>
      <x:c r="H8" s="44" t="str">
        <x:v>Not Run</x:v>
      </x:c>
      <x:c r="I8" s="45" t="str"/>
    </x:row>
    <x:row r="9" ht="48" customHeight="1">
      <x:c r="A9" s="17" t="str">
        <x:v>QUO-RET-004</x:v>
      </x:c>
      <x:c r="B9" s="17" t="str">
        <x:v>Quotation</x:v>
      </x:c>
      <x:c r="C9" s="17" t="str">
        <x:v>Return</x:v>
      </x:c>
      <x:c r="D9" s="16" t="str">
        <x:v>UW chọn Need More Information và trả FO.</x:v>
      </x:c>
      <x:c r="E9" s="16" t="str">
        <x:v>FO nhận yêu cầu bổ sung, UW TAT tạm dừng.</x:v>
      </x:c>
      <x:c r="F9" s="17" t="str">
        <x:v>FO Process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QUO-RET-005</x:v>
      </x:c>
      <x:c r="B10" s="43" t="str">
        <x:v>Quotation</x:v>
      </x:c>
      <x:c r="C10" s="43" t="str">
        <x:v>Return</x:v>
      </x:c>
      <x:c r="D10" s="23" t="str">
        <x:v>UW Return sau khi đã Accept.</x:v>
      </x:c>
      <x:c r="E10" s="23" t="str">
        <x:v>Khi gửi lại, UW TAT dùng lần Accept cuối.</x:v>
      </x:c>
      <x:c r="F10" s="43" t="str">
        <x:v>UW Pending</x:v>
      </x:c>
      <x:c r="G10" s="43" t="str">
        <x:v>High</x:v>
      </x:c>
      <x:c r="H10" s="44" t="str">
        <x:v>Not Run</x:v>
      </x:c>
      <x:c r="I10" s="45" t="str"/>
    </x:row>
    <x:row r="11" ht="48" customHeight="1">
      <x:c r="A11" s="17" t="str">
        <x:v>QUO-RET-006</x:v>
      </x:c>
      <x:c r="B11" s="17" t="str">
        <x:v>Quotation</x:v>
      </x:c>
      <x:c r="C11" s="17" t="str">
        <x:v>Return</x:v>
      </x:c>
      <x:c r="D11" s="16" t="str">
        <x:v>LMKT/MGR trả FO chỉnh sửa.</x:v>
      </x:c>
      <x:c r="E11" s="16" t="str">
        <x:v>FO nhận task, lý do và bản quotation hiện hành.</x:v>
      </x:c>
      <x:c r="F11" s="17" t="str">
        <x:v>FO Review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QUO-REV-001</x:v>
      </x:c>
      <x:c r="B12" s="43" t="str">
        <x:v>Quotation</x:v>
      </x:c>
      <x:c r="C12" s="43" t="str">
        <x:v>Revise</x:v>
      </x:c>
      <x:c r="D12" s="23" t="str">
        <x:v>FO revise trước khi gửi MGR.</x:v>
      </x:c>
      <x:c r="E12" s="23" t="str">
        <x:v>Version tăng và dữ liệu cũ còn trong lịch sử.</x:v>
      </x:c>
      <x:c r="F12" s="43" t="str">
        <x:v>FO Revision</x:v>
      </x:c>
      <x:c r="G12" s="43" t="str">
        <x:v>Medium</x:v>
      </x:c>
      <x:c r="H12" s="44" t="str">
        <x:v>Not Run</x:v>
      </x:c>
      <x:c r="I12" s="45" t="str"/>
    </x:row>
    <x:row r="13" ht="48" customHeight="1">
      <x:c r="A13" s="17" t="str">
        <x:v>QUO-REV-002</x:v>
      </x:c>
      <x:c r="B13" s="17" t="str">
        <x:v>Quotation</x:v>
      </x:c>
      <x:c r="C13" s="17" t="str">
        <x:v>Signature</x:v>
      </x:c>
      <x:c r="D13" s="16" t="str">
        <x:v>Quotation đã ký nhưng cần revise và ký lại.</x:v>
      </x:c>
      <x:c r="E13" s="16" t="str">
        <x:v>Bản ký cũ mất hiệu lực; tạo version ký mới.</x:v>
      </x:c>
      <x:c r="F13" s="17" t="str">
        <x:v>MKT Review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QUO-CAN-001</x:v>
      </x:c>
      <x:c r="B14" s="43" t="str">
        <x:v>Quotation</x:v>
      </x:c>
      <x:c r="C14" s="43" t="str">
        <x:v>Cancel</x:v>
      </x:c>
      <x:c r="D14" s="23" t="str">
        <x:v>FO cancel khi quotation còn Draft.</x:v>
      </x:c>
      <x:c r="E14" s="23" t="str">
        <x:v>Ghi lý do, đóng workflow và không còn task mở.</x:v>
      </x:c>
      <x:c r="F14" s="43" t="str">
        <x:v>Cancelled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QUO-CAN-002</x:v>
      </x:c>
      <x:c r="B15" s="17" t="str">
        <x:v>Quotation</x:v>
      </x:c>
      <x:c r="C15" s="17" t="str">
        <x:v>Cancel</x:v>
      </x:c>
      <x:c r="D15" s="16" t="str">
        <x:v>FO cancel sau khi TS đã xử lý.</x:v>
      </x:c>
      <x:c r="E15" s="16" t="str">
        <x:v>Đóng workflow nhưng giữ dữ liệu và lịch sử TS.</x:v>
      </x:c>
      <x:c r="F15" s="17" t="str">
        <x:v>Cancelled</x:v>
      </x:c>
      <x:c r="G15" s="17" t="str">
        <x:v>High</x:v>
      </x:c>
      <x:c r="H15" s="44" t="str">
        <x:v>Not Run</x:v>
      </x:c>
      <x:c r="I15" s="45" t="str"/>
    </x:row>
    <x:row r="16" ht="48" customHeight="1">
      <x:c r="A16" s="43" t="str">
        <x:v>QUO-CAN-003</x:v>
      </x:c>
      <x:c r="B16" s="43" t="str">
        <x:v>Quotation</x:v>
      </x:c>
      <x:c r="C16" s="43" t="str">
        <x:v>Cancel</x:v>
      </x:c>
      <x:c r="D16" s="23" t="str">
        <x:v>FO cancel trong lúc chờ UW.</x:v>
      </x:c>
      <x:c r="E16" s="23" t="str">
        <x:v>UW task bị đóng và các bên liên quan nhận notification.</x:v>
      </x:c>
      <x:c r="F16" s="43" t="str">
        <x:v>Cancelled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QUO-DEC-001</x:v>
      </x:c>
      <x:c r="B17" s="17" t="str">
        <x:v>Quotation</x:v>
      </x:c>
      <x:c r="C17" s="17" t="str">
        <x:v>Decline</x:v>
      </x:c>
      <x:c r="D17" s="16" t="str">
        <x:v>UW Decline Risk.</x:v>
      </x:c>
      <x:c r="E17" s="16" t="str">
        <x:v>Lưu quyết định và lý do; không tiếp tục cấp đơn.</x:v>
      </x:c>
      <x:c r="F17" s="17" t="str">
        <x:v>Declined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QUO-DEC-002</x:v>
      </x:c>
      <x:c r="B18" s="43" t="str">
        <x:v>Quotation</x:v>
      </x:c>
      <x:c r="C18" s="43" t="str">
        <x:v>Decline</x:v>
      </x:c>
      <x:c r="D18" s="23" t="str">
        <x:v>LMKT/MGR Decline quotation.</x:v>
      </x:c>
      <x:c r="E18" s="23" t="str">
        <x:v>Workflow kết thúc Declined và FO được thông báo.</x:v>
      </x:c>
      <x:c r="F18" s="43" t="str">
        <x:v>Declined</x:v>
      </x:c>
      <x:c r="G18" s="43" t="str">
        <x:v>High</x:v>
      </x:c>
      <x:c r="H18" s="44" t="str">
        <x:v>Not Run</x:v>
      </x:c>
      <x:c r="I18" s="45" t="str"/>
    </x:row>
    <x:row r="19" ht="48" customHeight="1">
      <x:c r="A19" s="17" t="str">
        <x:v>QUO-DEC-003</x:v>
      </x:c>
      <x:c r="B19" s="17" t="str">
        <x:v>Quotation</x:v>
      </x:c>
      <x:c r="C19" s="17" t="str">
        <x:v>Client Refusal</x:v>
      </x:c>
      <x:c r="D19" s="16" t="str">
        <x:v>Khách hàng từ chối quotation.</x:v>
      </x:c>
      <x:c r="E19" s="16" t="str">
        <x:v>FO ghi nhận refusal; quotation kết thúc.</x:v>
      </x:c>
      <x:c r="F19" s="17" t="str">
        <x:v>Quotation Refused</x:v>
      </x:c>
      <x:c r="G19" s="17" t="str">
        <x:v>High</x:v>
      </x:c>
      <x:c r="H19" s="44" t="str">
        <x:v>Not Run</x:v>
      </x:c>
      <x:c r="I19" s="45" t="str"/>
    </x:row>
    <x:row r="20" ht="48" customHeight="1">
      <x:c r="A20" s="43" t="str">
        <x:v>QUO-DEC-004</x:v>
      </x:c>
      <x:c r="B20" s="43" t="str">
        <x:v>Quotation</x:v>
      </x:c>
      <x:c r="C20" s="43" t="str">
        <x:v>Client Cancel</x:v>
      </x:c>
      <x:c r="D20" s="23" t="str">
        <x:v>Khách hàng không phản hồi và FO cancel.</x:v>
      </x:c>
      <x:c r="E20" s="23" t="str">
        <x:v>Ghi lý do và đóng quotation.</x:v>
      </x:c>
      <x:c r="F20" s="43" t="str">
        <x:v>Cancelled</x:v>
      </x:c>
      <x:c r="G20" s="43" t="str">
        <x:v>Medium</x:v>
      </x:c>
      <x:c r="H20" s="44" t="str">
        <x:v>Not Run</x:v>
      </x:c>
      <x:c r="I20" s="45" t="str"/>
    </x:row>
    <x:row r="21" ht="48" customHeight="1">
      <x:c r="A21" s="17" t="str">
        <x:v>QUO-SIGN-001</x:v>
      </x:c>
      <x:c r="B21" s="17" t="str">
        <x:v>Quotation</x:v>
      </x:c>
      <x:c r="C21" s="17" t="str">
        <x:v>Signature</x:v>
      </x:c>
      <x:c r="D21" s="16" t="str">
        <x:v>Ký số quotation thất bại.</x:v>
      </x:c>
      <x:c r="E21" s="16" t="str">
        <x:v>Không chuyển bước; hiển thị lỗi và cho phép thử lại.</x:v>
      </x:c>
      <x:c r="F21" s="17" t="str">
        <x:v>MKT Review</x:v>
      </x:c>
      <x:c r="G21" s="17" t="str">
        <x:v>High</x:v>
      </x:c>
      <x:c r="H21" s="44" t="str">
        <x:v>Not Run</x:v>
      </x:c>
      <x:c r="I21" s="45" t="str"/>
    </x:row>
    <x:row r="22" ht="48" customHeight="1">
      <x:c r="A22" s="43" t="str">
        <x:v>QUO-SIGN-002</x:v>
      </x:c>
      <x:c r="B22" s="43" t="str">
        <x:v>Quotation</x:v>
      </x:c>
      <x:c r="C22" s="43" t="str">
        <x:v>Authorization</x:v>
      </x:c>
      <x:c r="D22" s="23" t="str">
        <x:v>Người ký không có quyền hoặc chứng thư không hợp lệ.</x:v>
      </x:c>
      <x:c r="E22" s="23" t="str">
        <x:v>Từ chối ký và ghi audit lỗi.</x:v>
      </x:c>
      <x:c r="F22" s="43" t="str">
        <x:v>MKT Review</x:v>
      </x:c>
      <x:c r="G22" s="43" t="str">
        <x:v>High</x:v>
      </x:c>
      <x:c r="H22" s="44" t="str">
        <x:v>Not Run</x:v>
      </x:c>
      <x:c r="I22" s="45" t="str"/>
    </x:row>
    <x:row r="23" ht="48" customHeight="1">
      <x:c r="A23" s="17" t="str">
        <x:v>QUO-SIGN-003</x:v>
      </x:c>
      <x:c r="B23" s="17" t="str">
        <x:v>Quotation</x:v>
      </x:c>
      <x:c r="C23" s="17" t="str">
        <x:v>Signature</x:v>
      </x:c>
      <x:c r="D23" s="16" t="str">
        <x:v>Thay đổi quotation sau khi đã ký.</x:v>
      </x:c>
      <x:c r="E23" s="16" t="str">
        <x:v>Không dùng lại chữ ký cũ cho nội dung mới.</x:v>
      </x:c>
      <x:c r="F23" s="17" t="str">
        <x:v>Revision Required</x:v>
      </x:c>
      <x:c r="G23" s="17" t="str">
        <x:v>High</x:v>
      </x:c>
      <x:c r="H23" s="44" t="str">
        <x:v>Not Run</x:v>
      </x:c>
      <x:c r="I23" s="45" t="str"/>
    </x:row>
    <x:row r="24" ht="48" customHeight="1">
      <x:c r="A24" s="43" t="str">
        <x:v>QUO-SIGN-004</x:v>
      </x:c>
      <x:c r="B24" s="43" t="str">
        <x:v>Quotation</x:v>
      </x:c>
      <x:c r="C24" s="43" t="str">
        <x:v>Signature</x:v>
      </x:c>
      <x:c r="D24" s="23" t="str">
        <x:v>Ký lại quotation sau revise.</x:v>
      </x:c>
      <x:c r="E24" s="23" t="str">
        <x:v>Tạo version mới và giữ bản ký cũ trong history.</x:v>
      </x:c>
      <x:c r="F24" s="43" t="str">
        <x:v>FO Review</x:v>
      </x:c>
      <x:c r="G24" s="43" t="str">
        <x:v>High</x:v>
      </x:c>
      <x:c r="H24" s="44" t="str">
        <x:v>Not Run</x:v>
      </x:c>
      <x:c r="I24" s="45" t="str"/>
    </x:row>
    <x:row r="25" ht="48" customHeight="1">
      <x:c r="A25" s="17" t="str">
        <x:v>QUO-ATT-001</x:v>
      </x:c>
      <x:c r="B25" s="17" t="str">
        <x:v>Quotation</x:v>
      </x:c>
      <x:c r="C25" s="17" t="str">
        <x:v>Attachment</x:v>
      </x:c>
      <x:c r="D25" s="16" t="str">
        <x:v>Thiếu quotation attachment khi Submit.</x:v>
      </x:c>
      <x:c r="E25" s="16" t="str">
        <x:v>Validation chặn Submit.</x:v>
      </x:c>
      <x:c r="F25" s="17" t="str">
        <x:v>Unchanged</x:v>
      </x:c>
      <x:c r="G25" s="17" t="str">
        <x:v>High</x:v>
      </x:c>
      <x:c r="H25" s="44" t="str">
        <x:v>Not Run</x:v>
      </x:c>
      <x:c r="I25" s="45" t="str"/>
    </x:row>
    <x:row r="26" ht="48" customHeight="1">
      <x:c r="A26" s="43" t="str">
        <x:v>QUO-ATT-002</x:v>
      </x:c>
      <x:c r="B26" s="43" t="str">
        <x:v>Quotation</x:v>
      </x:c>
      <x:c r="C26" s="43" t="str">
        <x:v>Attachment</x:v>
      </x:c>
      <x:c r="D26" s="23" t="str">
        <x:v>Số quotation không khớp số file.</x:v>
      </x:c>
      <x:c r="E26" s="23" t="str">
        <x:v>Hiển thị lỗi hoặc tự count theo rule BRD.</x:v>
      </x:c>
      <x:c r="F26" s="43" t="str">
        <x:v>Unchanged</x:v>
      </x:c>
      <x:c r="G26" s="43" t="str">
        <x:v>High</x:v>
      </x:c>
      <x:c r="H26" s="44" t="str">
        <x:v>Not Run</x:v>
      </x:c>
      <x:c r="I26" s="45" t="str"/>
    </x:row>
    <x:row r="27" ht="48" customHeight="1">
      <x:c r="A27" s="17" t="str">
        <x:v>QUO-ATT-003</x:v>
      </x:c>
      <x:c r="B27" s="17" t="str">
        <x:v>Quotation</x:v>
      </x:c>
      <x:c r="C27" s="17" t="str">
        <x:v>Attachment</x:v>
      </x:c>
      <x:c r="D27" s="16" t="str">
        <x:v>Request tạo Q1, Q2 nhưng thiếu một file.</x:v>
      </x:c>
      <x:c r="E27" s="16" t="str">
        <x:v>Không gán sai file và báo thiếu rõ ràng.</x:v>
      </x:c>
      <x:c r="F27" s="17" t="str">
        <x:v>TS Process</x:v>
      </x:c>
      <x:c r="G27" s="17" t="str">
        <x:v>Medium</x:v>
      </x:c>
      <x:c r="H27" s="44" t="str">
        <x:v>Not Run</x:v>
      </x:c>
      <x:c r="I27" s="45" t="str"/>
    </x:row>
    <x:row r="28" ht="48" customHeight="1">
      <x:c r="A28" s="43" t="str">
        <x:v>QUO-END-001</x:v>
      </x:c>
      <x:c r="B28" s="43" t="str">
        <x:v>Quotation</x:v>
      </x:c>
      <x:c r="C28" s="43" t="str">
        <x:v>Idempotency</x:v>
      </x:c>
      <x:c r="D28" s="23" t="str">
        <x:v>Chạy action kết thúc hai lần.</x:v>
      </x:c>
      <x:c r="E28" s="23" t="str">
        <x:v>Lần hai bị chặn, không tạo log/instance trùng.</x:v>
      </x:c>
      <x:c r="F28" s="43" t="str">
        <x:v>Completed</x:v>
      </x:c>
      <x:c r="G28" s="43" t="str">
        <x:v>High</x:v>
      </x:c>
      <x:c r="H28" s="44" t="str">
        <x:v>Not Run</x:v>
      </x:c>
      <x:c r="I28" s="45" t="str"/>
    </x:row>
    <x:row r="29" ht="48" customHeight="1">
      <x:c r="A29" s="17" t="str">
        <x:v>QUO-END-002</x:v>
      </x:c>
      <x:c r="B29" s="17" t="str">
        <x:v>Quotation</x:v>
      </x:c>
      <x:c r="C29" s="17" t="str">
        <x:v>Database</x:v>
      </x:c>
      <x:c r="D29" s="16" t="str">
        <x:v>UI Completed nhưng runtime chưa cập nhật cờ kết thúc.</x:v>
      </x:c>
      <x:c r="E29" s="16" t="str">
        <x:v>CompletedDate có giá trị, IsCompleted = 1.</x:v>
      </x:c>
      <x:c r="F29" s="17" t="str">
        <x:v>Completed</x:v>
      </x:c>
      <x:c r="G29" s="17" t="str">
        <x:v>High</x:v>
      </x:c>
      <x:c r="H29" s="44" t="str">
        <x:v>Not Run</x:v>
      </x:c>
      <x:c r="I29" s="45" t="str"/>
    </x:row>
  </x:sheetData>
  <x:mergeCells>
    <x:mergeCell ref="A1:I1"/>
    <x:mergeCell ref="A2:I2"/>
  </x:mergeCells>
  <x:conditionalFormatting sqref="H6:H29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Blocked"/>
  </x:conditionalFormatting>
  <x:dataValidations count="1">
    <x:dataValidation type="list" sqref="H6:H29">
      <x:formula1>"Not Run,Pass,Fail,Blocked"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61C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6" hidden="0" customWidth="1"/>
    <x:col min="5" max="5" width="52" hidden="0" customWidth="1"/>
    <x:col min="6" max="6" width="26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28" customHeight="1">
      <x:c r="A1" s="2" t="str">
        <x:v>Policy Exceptions</x:v>
      </x:c>
    </x:row>
    <x:row r="2" ht="26" customHeight="1">
      <x:c r="A2" s="5" t="str">
        <x:v>Return, withdraw, cancel, checklist, Core PA và follow-up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2" t="str">
        <x:v>Case ID</x:v>
      </x:c>
      <x:c r="B5" s="12" t="str">
        <x:v>Module</x:v>
      </x:c>
      <x:c r="C5" s="12" t="str">
        <x:v>Group</x:v>
      </x:c>
      <x:c r="D5" s="12" t="str">
        <x:v>Scenario</x:v>
      </x:c>
      <x:c r="E5" s="12" t="str">
        <x:v>Expected Result</x:v>
      </x:c>
      <x:c r="F5" s="12" t="str">
        <x:v>Expected Final Status</x:v>
      </x:c>
      <x:c r="G5" s="12" t="str">
        <x:v>Priority</x:v>
      </x:c>
      <x:c r="H5" s="12" t="str">
        <x:v>Test Result</x:v>
      </x:c>
      <x:c r="I5" s="12" t="str">
        <x:v>Tester Note</x:v>
      </x:c>
    </x:row>
    <x:row r="6" ht="48" customHeight="1">
      <x:c r="A6" s="43" t="str">
        <x:v>PI-RET-001</x:v>
      </x:c>
      <x:c r="B6" s="43" t="str">
        <x:v>Policy Issuance</x:v>
      </x:c>
      <x:c r="C6" s="43" t="str">
        <x:v>Return</x:v>
      </x:c>
      <x:c r="D6" s="23" t="str">
        <x:v>PM Return FO do thiếu thông tin.</x:v>
      </x:c>
      <x:c r="E6" s="23" t="str">
        <x:v>Task về FO, ghi lý do và giữ checklist/attachment.</x:v>
      </x:c>
      <x:c r="F6" s="43" t="str">
        <x:v>FO Process</x:v>
      </x:c>
      <x:c r="G6" s="43" t="str">
        <x:v>High</x:v>
      </x:c>
      <x:c r="H6" s="44" t="str">
        <x:v>Not Run</x:v>
      </x:c>
      <x:c r="I6" s="45" t="str"/>
    </x:row>
    <x:row r="7" ht="48" customHeight="1">
      <x:c r="A7" s="17" t="str">
        <x:v>PI-RET-002</x:v>
      </x:c>
      <x:c r="B7" s="17" t="str">
        <x:v>Policy Issuance</x:v>
      </x:c>
      <x:c r="C7" s="17" t="str">
        <x:v>Return</x:v>
      </x:c>
      <x:c r="D7" s="16" t="str">
        <x:v>PM Return TS do checklist chưa đủ.</x:v>
      </x:c>
      <x:c r="E7" s="16" t="str">
        <x:v>Task về TS và chỉ rõ line checklist thiếu.</x:v>
      </x:c>
      <x:c r="F7" s="17" t="str">
        <x:v>TS Process</x:v>
      </x:c>
      <x:c r="G7" s="17" t="str">
        <x:v>High</x:v>
      </x:c>
      <x:c r="H7" s="44" t="str">
        <x:v>Not Run</x:v>
      </x:c>
      <x:c r="I7" s="45" t="str"/>
    </x:row>
    <x:row r="8" ht="48" customHeight="1">
      <x:c r="A8" s="43" t="str">
        <x:v>PI-RET-003</x:v>
      </x:c>
      <x:c r="B8" s="43" t="str">
        <x:v>Policy Issuance</x:v>
      </x:c>
      <x:c r="C8" s="43" t="str">
        <x:v>Routing</x:v>
      </x:c>
      <x:c r="D8" s="23" t="str">
        <x:v>Request tạo từ TS nhưng PM trả về FO.</x:v>
      </x:c>
      <x:c r="E8" s="23" t="str">
        <x:v>Định tuyến theo rule đã thống nhất; không trả sai owner.</x:v>
      </x:c>
      <x:c r="F8" s="43" t="str">
        <x:v>Need Confirmation</x:v>
      </x:c>
      <x:c r="G8" s="43" t="str">
        <x:v>High</x:v>
      </x:c>
      <x:c r="H8" s="44" t="str">
        <x:v>Not Run</x:v>
      </x:c>
      <x:c r="I8" s="45" t="str"/>
    </x:row>
    <x:row r="9" ht="48" customHeight="1">
      <x:c r="A9" s="17" t="str">
        <x:v>PI-RET-004</x:v>
      </x:c>
      <x:c r="B9" s="17" t="str">
        <x:v>Policy Issuance</x:v>
      </x:c>
      <x:c r="C9" s="17" t="str">
        <x:v>Revise</x:v>
      </x:c>
      <x:c r="D9" s="16" t="str">
        <x:v>FO revise request rồi resubmit PM.</x:v>
      </x:c>
      <x:c r="E9" s="16" t="str">
        <x:v>PM nhận phiên bản mới và lịch sử cũ còn nguyên.</x:v>
      </x:c>
      <x:c r="F9" s="17" t="str">
        <x:v>PM Pending</x:v>
      </x:c>
      <x:c r="G9" s="17" t="str">
        <x:v>High</x:v>
      </x:c>
      <x:c r="H9" s="44" t="str">
        <x:v>Not Run</x:v>
      </x:c>
      <x:c r="I9" s="45" t="str"/>
    </x:row>
    <x:row r="10" ht="48" customHeight="1">
      <x:c r="A10" s="43" t="str">
        <x:v>PI-RET-005</x:v>
      </x:c>
      <x:c r="B10" s="43" t="str">
        <x:v>Policy Issuance</x:v>
      </x:c>
      <x:c r="C10" s="43" t="str">
        <x:v>Revise</x:v>
      </x:c>
      <x:c r="D10" s="23" t="str">
        <x:v>TS revise request rồi resubmit PM.</x:v>
      </x:c>
      <x:c r="E10" s="23" t="str">
        <x:v>PM nhận task mới và loop count tăng.</x:v>
      </x:c>
      <x:c r="F10" s="43" t="str">
        <x:v>PM Pending</x:v>
      </x:c>
      <x:c r="G10" s="43" t="str">
        <x:v>High</x:v>
      </x:c>
      <x:c r="H10" s="44" t="str">
        <x:v>Not Run</x:v>
      </x:c>
      <x:c r="I10" s="45" t="str"/>
    </x:row>
    <x:row r="11" ht="48" customHeight="1">
      <x:c r="A11" s="17" t="str">
        <x:v>PI-RET-006</x:v>
      </x:c>
      <x:c r="B11" s="17" t="str">
        <x:v>Policy Issuance</x:v>
      </x:c>
      <x:c r="C11" s="17" t="str">
        <x:v>Return</x:v>
      </x:c>
      <x:c r="D11" s="16" t="str">
        <x:v>PM Return sau khi đã Accept.</x:v>
      </x:c>
      <x:c r="E11" s="16" t="str">
        <x:v>Đóng khoảng PM TAT hiện tại và trả task đúng người.</x:v>
      </x:c>
      <x:c r="F11" s="17" t="str">
        <x:v>FO or TS Process</x:v>
      </x:c>
      <x:c r="G11" s="17" t="str">
        <x:v>High</x:v>
      </x:c>
      <x:c r="H11" s="44" t="str">
        <x:v>Not Run</x:v>
      </x:c>
      <x:c r="I11" s="45" t="str"/>
    </x:row>
    <x:row r="12" ht="48" customHeight="1">
      <x:c r="A12" s="43" t="str">
        <x:v>PI-RET-007</x:v>
      </x:c>
      <x:c r="B12" s="43" t="str">
        <x:v>Policy Issuance</x:v>
      </x:c>
      <x:c r="C12" s="43" t="str">
        <x:v>TAT</x:v>
      </x:c>
      <x:c r="D12" s="23" t="str">
        <x:v>PM Accept lại sau resubmit.</x:v>
      </x:c>
      <x:c r="E12" s="23" t="str">
        <x:v>PM TAT dùng Accepted Date cuối và Submit Date đầu.</x:v>
      </x:c>
      <x:c r="F12" s="43" t="str">
        <x:v>PM Process</x:v>
      </x:c>
      <x:c r="G12" s="43" t="str">
        <x:v>High</x:v>
      </x:c>
      <x:c r="H12" s="44" t="str">
        <x:v>Not Run</x:v>
      </x:c>
      <x:c r="I12" s="45" t="str"/>
    </x:row>
    <x:row r="13" ht="48" customHeight="1">
      <x:c r="A13" s="17" t="str">
        <x:v>PI-RET-008</x:v>
      </x:c>
      <x:c r="B13" s="17" t="str">
        <x:v>Policy Issuance</x:v>
      </x:c>
      <x:c r="C13" s="17" t="str">
        <x:v>Version</x:v>
      </x:c>
      <x:c r="D13" s="16" t="str">
        <x:v>Return và resubmit nhiều vòng.</x:v>
      </x:c>
      <x:c r="E13" s="16" t="str">
        <x:v>Không mất attachment, checklist hoặc version trước.</x:v>
      </x:c>
      <x:c r="F13" s="17" t="str">
        <x:v>PM Pending</x:v>
      </x:c>
      <x:c r="G13" s="17" t="str">
        <x:v>High</x:v>
      </x:c>
      <x:c r="H13" s="44" t="str">
        <x:v>Not Run</x:v>
      </x:c>
      <x:c r="I13" s="45" t="str"/>
    </x:row>
    <x:row r="14" ht="48" customHeight="1">
      <x:c r="A14" s="43" t="str">
        <x:v>PI-WD-001</x:v>
      </x:c>
      <x:c r="B14" s="43" t="str">
        <x:v>Policy Issuance</x:v>
      </x:c>
      <x:c r="C14" s="43" t="str">
        <x:v>Withdraw</x:v>
      </x:c>
      <x:c r="D14" s="23" t="str">
        <x:v>FO Withdraw khi chưa Assign TS.</x:v>
      </x:c>
      <x:c r="E14" s="23" t="str">
        <x:v>Đóng request, ghi lý do và giữ liên kết quotation.</x:v>
      </x:c>
      <x:c r="F14" s="43" t="str">
        <x:v>Withdrawn</x:v>
      </x:c>
      <x:c r="G14" s="43" t="str">
        <x:v>High</x:v>
      </x:c>
      <x:c r="H14" s="44" t="str">
        <x:v>Not Run</x:v>
      </x:c>
      <x:c r="I14" s="45" t="str"/>
    </x:row>
    <x:row r="15" ht="48" customHeight="1">
      <x:c r="A15" s="17" t="str">
        <x:v>PI-WD-002</x:v>
      </x:c>
      <x:c r="B15" s="17" t="str">
        <x:v>Policy Issuance</x:v>
      </x:c>
      <x:c r="C15" s="17" t="str">
        <x:v>Withdraw</x:v>
      </x:c>
      <x:c r="D15" s="16" t="str">
        <x:v>FO Withdraw sau Assign TS nhưng TS chưa Accept.</x:v>
      </x:c>
      <x:c r="E15" s="16" t="str">
        <x:v>Đóng TS task và thông báo cho TS.</x:v>
      </x:c>
      <x:c r="F15" s="17" t="str">
        <x:v>Withdrawn</x:v>
      </x:c>
      <x:c r="G15" s="17" t="str">
        <x:v>High</x:v>
      </x:c>
      <x:c r="H15" s="44" t="str">
        <x:v>Not Run</x:v>
      </x:c>
      <x:c r="I15" s="45" t="str"/>
    </x:row>
    <x:row r="16" ht="48" customHeight="1">
      <x:c r="A16" s="43" t="str">
        <x:v>PI-WD-003</x:v>
      </x:c>
      <x:c r="B16" s="43" t="str">
        <x:v>Policy Issuance</x:v>
      </x:c>
      <x:c r="C16" s="43" t="str">
        <x:v>Withdraw</x:v>
      </x:c>
      <x:c r="D16" s="23" t="str">
        <x:v>TS Withdraw trước khi gửi PM.</x:v>
      </x:c>
      <x:c r="E16" s="23" t="str">
        <x:v>Đóng request, ghi lý do và thông báo FO.</x:v>
      </x:c>
      <x:c r="F16" s="43" t="str">
        <x:v>Withdrawn</x:v>
      </x:c>
      <x:c r="G16" s="43" t="str">
        <x:v>High</x:v>
      </x:c>
      <x:c r="H16" s="44" t="str">
        <x:v>Not Run</x:v>
      </x:c>
      <x:c r="I16" s="45" t="str"/>
    </x:row>
    <x:row r="17" ht="48" customHeight="1">
      <x:c r="A17" s="17" t="str">
        <x:v>PI-WD-004</x:v>
      </x:c>
      <x:c r="B17" s="17" t="str">
        <x:v>Policy Issuance</x:v>
      </x:c>
      <x:c r="C17" s="17" t="str">
        <x:v>Withdraw</x:v>
      </x:c>
      <x:c r="D17" s="16" t="str">
        <x:v>FO hoặc TS Withdraw khi PM chưa Accept.</x:v>
      </x:c>
      <x:c r="E17" s="16" t="str">
        <x:v>Đóng PM pending task và lưu audit.</x:v>
      </x:c>
      <x:c r="F17" s="17" t="str">
        <x:v>Withdrawn</x:v>
      </x:c>
      <x:c r="G17" s="17" t="str">
        <x:v>High</x:v>
      </x:c>
      <x:c r="H17" s="44" t="str">
        <x:v>Not Run</x:v>
      </x:c>
      <x:c r="I17" s="45" t="str"/>
    </x:row>
    <x:row r="18" ht="48" customHeight="1">
      <x:c r="A18" s="43" t="str">
        <x:v>PI-WD-005</x:v>
      </x:c>
      <x:c r="B18" s="43" t="str">
        <x:v>Policy Issuance</x:v>
      </x:c>
      <x:c r="C18" s="43" t="str">
        <x:v>Need Confirmation</x:v>
      </x:c>
      <x:c r="D18" s="23" t="str">
        <x:v>Withdraw khi PM đã Accept.</x:v>
      </x:c>
      <x:c r="E18" s="23" t="str">
        <x:v>Hành vi cần Business xác nhận.</x:v>
      </x:c>
      <x:c r="F18" s="43" t="str">
        <x:v>Need Confirmation</x:v>
      </x:c>
      <x:c r="G18" s="43" t="str">
        <x:v>High</x:v>
      </x:c>
      <x:c r="H18" s="44" t="str">
        <x:v>Not Run</x:v>
      </x:c>
      <x:c r="I18" s="45" t="str"/>
    </x:row>
    <x:row r="19" ht="48" customHeight="1">
      <x:c r="A19" s="17" t="str">
        <x:v>PI-WD-006</x:v>
      </x:c>
      <x:c r="B19" s="17" t="str">
        <x:v>Policy Issuance</x:v>
      </x:c>
      <x:c r="C19" s="17" t="str">
        <x:v>Need Confirmation</x:v>
      </x:c>
      <x:c r="D19" s="16" t="str">
        <x:v>Withdraw sau khi Policy đã Submit.</x:v>
      </x:c>
      <x:c r="E19" s="16" t="str">
        <x:v>Hành vi và xử lý Core PA cần Business xác nhận.</x:v>
      </x:c>
      <x:c r="F19" s="17" t="str">
        <x:v>Need Confirmation</x:v>
      </x:c>
      <x:c r="G19" s="17" t="str">
        <x:v>High</x:v>
      </x:c>
      <x:c r="H19" s="44" t="str">
        <x:v>Not Run</x:v>
      </x:c>
      <x:c r="I19" s="45" t="str"/>
    </x:row>
    <x:row r="20" ht="48" customHeight="1">
      <x:c r="A20" s="43" t="str">
        <x:v>PI-WD-007</x:v>
      </x:c>
      <x:c r="B20" s="43" t="str">
        <x:v>Policy Issuance</x:v>
      </x:c>
      <x:c r="C20" s="43" t="str">
        <x:v>Validation</x:v>
      </x:c>
      <x:c r="D20" s="23" t="str">
        <x:v>Withdraw không nhập lý do.</x:v>
      </x:c>
      <x:c r="E20" s="23" t="str">
        <x:v>Validation chặn action.</x:v>
      </x:c>
      <x:c r="F20" s="43" t="str">
        <x:v>Unchanged</x:v>
      </x:c>
      <x:c r="G20" s="43" t="str">
        <x:v>High</x:v>
      </x:c>
      <x:c r="H20" s="44" t="str">
        <x:v>Not Run</x:v>
      </x:c>
      <x:c r="I20" s="45" t="str"/>
    </x:row>
    <x:row r="21" ht="48" customHeight="1">
      <x:c r="A21" s="17" t="str">
        <x:v>PI-WD-008</x:v>
      </x:c>
      <x:c r="B21" s="17" t="str">
        <x:v>Policy Issuance</x:v>
      </x:c>
      <x:c r="C21" s="17" t="str">
        <x:v>Audit</x:v>
      </x:c>
      <x:c r="D21" s="16" t="str">
        <x:v>Withdraw request.</x:v>
      </x:c>
      <x:c r="E21" s="16" t="str">
        <x:v>Không xóa lịch sử quotation, PI và attachment.</x:v>
      </x:c>
      <x:c r="F21" s="17" t="str">
        <x:v>Withdrawn</x:v>
      </x:c>
      <x:c r="G21" s="17" t="str">
        <x:v>High</x:v>
      </x:c>
      <x:c r="H21" s="44" t="str">
        <x:v>Not Run</x:v>
      </x:c>
      <x:c r="I21" s="45" t="str"/>
    </x:row>
    <x:row r="22" ht="48" customHeight="1">
      <x:c r="A22" s="43" t="str">
        <x:v>PI-CAN-001</x:v>
      </x:c>
      <x:c r="B22" s="43" t="str">
        <x:v>Policy Issuance</x:v>
      </x:c>
      <x:c r="C22" s="43" t="str">
        <x:v>Cancel</x:v>
      </x:c>
      <x:c r="D22" s="23" t="str">
        <x:v>Cancel PI do quotation bị hủy.</x:v>
      </x:c>
      <x:c r="E22" s="23" t="str">
        <x:v>PI đóng và giữ liên kết nguồn.</x:v>
      </x:c>
      <x:c r="F22" s="43" t="str">
        <x:v>Cancelled</x:v>
      </x:c>
      <x:c r="G22" s="43" t="str">
        <x:v>High</x:v>
      </x:c>
      <x:c r="H22" s="44" t="str">
        <x:v>Not Run</x:v>
      </x:c>
      <x:c r="I22" s="45" t="str"/>
    </x:row>
    <x:row r="23" ht="48" customHeight="1">
      <x:c r="A23" s="17" t="str">
        <x:v>PI-CAN-002</x:v>
      </x:c>
      <x:c r="B23" s="17" t="str">
        <x:v>Policy Issuance</x:v>
      </x:c>
      <x:c r="C23" s="17" t="str">
        <x:v>Cancel</x:v>
      </x:c>
      <x:c r="D23" s="16" t="str">
        <x:v>Cancel PI do quotation hết hiệu lực.</x:v>
      </x:c>
      <x:c r="E23" s="16" t="str">
        <x:v>Ghi lý do và không cho tiếp tục Submit.</x:v>
      </x:c>
      <x:c r="F23" s="17" t="str">
        <x:v>Cancelled</x:v>
      </x:c>
      <x:c r="G23" s="17" t="str">
        <x:v>Medium</x:v>
      </x:c>
      <x:c r="H23" s="44" t="str">
        <x:v>Not Run</x:v>
      </x:c>
      <x:c r="I23" s="45" t="str"/>
    </x:row>
    <x:row r="24" ht="48" customHeight="1">
      <x:c r="A24" s="43" t="str">
        <x:v>PI-CAN-003</x:v>
      </x:c>
      <x:c r="B24" s="43" t="str">
        <x:v>Policy Issuance</x:v>
      </x:c>
      <x:c r="C24" s="43" t="str">
        <x:v>Validation</x:v>
      </x:c>
      <x:c r="D24" s="23" t="str">
        <x:v>Tạo PI từ quotation Declined hoặc Cancelled.</x:v>
      </x:c>
      <x:c r="E24" s="23" t="str">
        <x:v>Hệ thống chặn tạo PI.</x:v>
      </x:c>
      <x:c r="F24" s="43" t="str">
        <x:v>Not Created</x:v>
      </x:c>
      <x:c r="G24" s="43" t="str">
        <x:v>High</x:v>
      </x:c>
      <x:c r="H24" s="44" t="str">
        <x:v>Not Run</x:v>
      </x:c>
      <x:c r="I24" s="45" t="str"/>
    </x:row>
    <x:row r="25" ht="48" customHeight="1">
      <x:c r="A25" s="17" t="str">
        <x:v>PI-CAN-004</x:v>
      </x:c>
      <x:c r="B25" s="17" t="str">
        <x:v>Policy Issuance</x:v>
      </x:c>
      <x:c r="C25" s="17" t="str">
        <x:v>Duplicate</x:v>
      </x:c>
      <x:c r="D25" s="16" t="str">
        <x:v>Tạo PI thứ hai khi quotation đã có PI active.</x:v>
      </x:c>
      <x:c r="E25" s="16" t="str">
        <x:v>Hệ thống chặn hoặc cảnh báo theo rule một quotation một PI.</x:v>
      </x:c>
      <x:c r="F25" s="17" t="str">
        <x:v>Not Created</x:v>
      </x:c>
      <x:c r="G25" s="17" t="str">
        <x:v>High</x:v>
      </x:c>
      <x:c r="H25" s="44" t="str">
        <x:v>Not Run</x:v>
      </x:c>
      <x:c r="I25" s="45" t="str"/>
    </x:row>
    <x:row r="26" ht="48" customHeight="1">
      <x:c r="A26" s="43" t="str">
        <x:v>PI-CHK-001</x:v>
      </x:c>
      <x:c r="B26" s="43" t="str">
        <x:v>Policy Issuance</x:v>
      </x:c>
      <x:c r="C26" s="43" t="str">
        <x:v>Checklist</x:v>
      </x:c>
      <x:c r="D26" s="23" t="str">
        <x:v>PM Accept khi checklist chưa hoàn tất.</x:v>
      </x:c>
      <x:c r="E26" s="23" t="str">
        <x:v>Hệ thống chặn Accept.</x:v>
      </x:c>
      <x:c r="F26" s="43" t="str">
        <x:v>PM Pending</x:v>
      </x:c>
      <x:c r="G26" s="43" t="str">
        <x:v>High</x:v>
      </x:c>
      <x:c r="H26" s="44" t="str">
        <x:v>Not Run</x:v>
      </x:c>
      <x:c r="I26" s="45" t="str"/>
    </x:row>
    <x:row r="27" ht="48" customHeight="1">
      <x:c r="A27" s="17" t="str">
        <x:v>PI-CHK-002</x:v>
      </x:c>
      <x:c r="B27" s="17" t="str">
        <x:v>Policy Issuance</x:v>
      </x:c>
      <x:c r="C27" s="17" t="str">
        <x:v>Checklist</x:v>
      </x:c>
      <x:c r="D27" s="16" t="str">
        <x:v>Checklist thiếu một line bắt buộc.</x:v>
      </x:c>
      <x:c r="E27" s="16" t="str">
        <x:v>Chỉ rõ line thiếu và không cho Accept.</x:v>
      </x:c>
      <x:c r="F27" s="17" t="str">
        <x:v>PM Pending</x:v>
      </x:c>
      <x:c r="G27" s="17" t="str">
        <x:v>High</x:v>
      </x:c>
      <x:c r="H27" s="44" t="str">
        <x:v>Not Run</x:v>
      </x:c>
      <x:c r="I27" s="45" t="str"/>
    </x:row>
    <x:row r="28" ht="48" customHeight="1">
      <x:c r="A28" s="43" t="str">
        <x:v>PI-SUB-001</x:v>
      </x:c>
      <x:c r="B28" s="43" t="str">
        <x:v>Integration</x:v>
      </x:c>
      <x:c r="C28" s="43" t="str">
        <x:v>Core PA</x:v>
      </x:c>
      <x:c r="D28" s="23" t="str">
        <x:v>Submit Policy khi Core PA không phản hồi.</x:v>
      </x:c>
      <x:c r="E28" s="23" t="str">
        <x:v>Không complete; hiển thị lỗi và cho phép retry an toàn.</x:v>
      </x:c>
      <x:c r="F28" s="43" t="str">
        <x:v>PM Process</x:v>
      </x:c>
      <x:c r="G28" s="43" t="str">
        <x:v>High</x:v>
      </x:c>
      <x:c r="H28" s="44" t="str">
        <x:v>Not Run</x:v>
      </x:c>
      <x:c r="I28" s="45" t="str"/>
    </x:row>
    <x:row r="29" ht="48" customHeight="1">
      <x:c r="A29" s="17" t="str">
        <x:v>PI-SUB-002</x:v>
      </x:c>
      <x:c r="B29" s="17" t="str">
        <x:v>Integration</x:v>
      </x:c>
      <x:c r="C29" s="17" t="str">
        <x:v>Core PA</x:v>
      </x:c>
      <x:c r="D29" s="16" t="str">
        <x:v>Quotation No không tồn tại trong Core PA.</x:v>
      </x:c>
      <x:c r="E29" s="16" t="str">
        <x:v>Không tạo mapping sai và hiển thị lỗi.</x:v>
      </x:c>
      <x:c r="F29" s="17" t="str">
        <x:v>PM Process</x:v>
      </x:c>
      <x:c r="G29" s="17" t="str">
        <x:v>High</x:v>
      </x:c>
      <x:c r="H29" s="44" t="str">
        <x:v>Not Run</x:v>
      </x:c>
      <x:c r="I29" s="45" t="str"/>
    </x:row>
    <x:row r="30" ht="48" customHeight="1">
      <x:c r="A30" s="43" t="str">
        <x:v>PI-SUB-003</x:v>
      </x:c>
      <x:c r="B30" s="43" t="str">
        <x:v>Integration</x:v>
      </x:c>
      <x:c r="C30" s="43" t="str">
        <x:v>Core PA</x:v>
      </x:c>
      <x:c r="D30" s="23" t="str">
        <x:v>Core PA trả Policy No trùng.</x:v>
      </x:c>
      <x:c r="E30" s="23" t="str">
        <x:v>Chặn mapping trùng và ghi lỗi.</x:v>
      </x:c>
      <x:c r="F30" s="43" t="str">
        <x:v>PM Process</x:v>
      </x:c>
      <x:c r="G30" s="43" t="str">
        <x:v>High</x:v>
      </x:c>
      <x:c r="H30" s="44" t="str">
        <x:v>Not Run</x:v>
      </x:c>
      <x:c r="I30" s="45" t="str"/>
    </x:row>
    <x:row r="31" ht="48" customHeight="1">
      <x:c r="A31" s="17" t="str">
        <x:v>PI-SUB-004</x:v>
      </x:c>
      <x:c r="B31" s="17" t="str">
        <x:v>Integration</x:v>
      </x:c>
      <x:c r="C31" s="17" t="str">
        <x:v>Core PA</x:v>
      </x:c>
      <x:c r="D31" s="16" t="str">
        <x:v>Policy No tạo thành công nhưng không sync về workflow.</x:v>
      </x:c>
      <x:c r="E31" s="16" t="str">
        <x:v>Retry/reconcile không tạo policy thứ hai.</x:v>
      </x:c>
      <x:c r="F31" s="17" t="str">
        <x:v>Submit Pending Sync</x:v>
      </x:c>
      <x:c r="G31" s="17" t="str">
        <x:v>High</x:v>
      </x:c>
      <x:c r="H31" s="44" t="str">
        <x:v>Not Run</x:v>
      </x:c>
      <x:c r="I31" s="45" t="str"/>
    </x:row>
    <x:row r="32" ht="48" customHeight="1">
      <x:c r="A32" s="43" t="str">
        <x:v>PI-FU-001</x:v>
      </x:c>
      <x:c r="B32" s="43" t="str">
        <x:v>Policy Issuance</x:v>
      </x:c>
      <x:c r="C32" s="43" t="str">
        <x:v>Follow Up</x:v>
      </x:c>
      <x:c r="D32" s="23" t="str">
        <x:v>Submit but follow up nhưng không Assign FO/TS.</x:v>
      </x:c>
      <x:c r="E32" s="23" t="str">
        <x:v>Hệ thống yêu cầu owner trước khi chuyển bước.</x:v>
      </x:c>
      <x:c r="F32" s="43" t="str">
        <x:v>Submit but follow up</x:v>
      </x:c>
      <x:c r="G32" s="43" t="str">
        <x:v>High</x:v>
      </x:c>
      <x:c r="H32" s="44" t="str">
        <x:v>Not Run</x:v>
      </x:c>
      <x:c r="I32" s="45" t="str"/>
    </x:row>
    <x:row r="33" ht="48" customHeight="1">
      <x:c r="A33" s="17" t="str">
        <x:v>PI-FU-002</x:v>
      </x:c>
      <x:c r="B33" s="17" t="str">
        <x:v>Policy Issuance</x:v>
      </x:c>
      <x:c r="C33" s="17" t="str">
        <x:v>Follow Up</x:v>
      </x:c>
      <x:c r="D33" s="16" t="str">
        <x:v>Submit follow-up document thiếu attachment.</x:v>
      </x:c>
      <x:c r="E33" s="16" t="str">
        <x:v>Validation chặn Submit.</x:v>
      </x:c>
      <x:c r="F33" s="17" t="str">
        <x:v>Follow Up</x:v>
      </x:c>
      <x:c r="G33" s="17" t="str">
        <x:v>High</x:v>
      </x:c>
      <x:c r="H33" s="44" t="str">
        <x:v>Not Run</x:v>
      </x:c>
      <x:c r="I33" s="45" t="str"/>
    </x:row>
    <x:row r="34" ht="48" customHeight="1">
      <x:c r="A34" s="43" t="str">
        <x:v>PI-FU-003</x:v>
      </x:c>
      <x:c r="B34" s="43" t="str">
        <x:v>Policy Issuance</x:v>
      </x:c>
      <x:c r="C34" s="43" t="str">
        <x:v>Follow Up</x:v>
      </x:c>
      <x:c r="D34" s="23" t="str">
        <x:v>Khách hàng chưa gửi bản ký trả.</x:v>
      </x:c>
      <x:c r="E34" s="23" t="str">
        <x:v>Giữ follow-up mở và gửi reminder theo cấu hình.</x:v>
      </x:c>
      <x:c r="F34" s="43" t="str">
        <x:v>Follow Up</x:v>
      </x:c>
      <x:c r="G34" s="43" t="str">
        <x:v>Medium</x:v>
      </x:c>
      <x:c r="H34" s="44" t="str">
        <x:v>Not Run</x:v>
      </x:c>
      <x:c r="I34" s="45" t="str"/>
    </x:row>
    <x:row r="35" ht="48" customHeight="1">
      <x:c r="A35" s="17" t="str">
        <x:v>PI-FU-004</x:v>
      </x:c>
      <x:c r="B35" s="17" t="str">
        <x:v>Policy Issuance</x:v>
      </x:c>
      <x:c r="C35" s="17" t="str">
        <x:v>Follow Up</x:v>
      </x:c>
      <x:c r="D35" s="16" t="str">
        <x:v>Follow-up nhiều vòng.</x:v>
      </x:c>
      <x:c r="E35" s="16" t="str">
        <x:v>Mỗi vòng có lịch sử, attachment và thời gian riêng.</x:v>
      </x:c>
      <x:c r="F35" s="17" t="str">
        <x:v>Follow Up</x:v>
      </x:c>
      <x:c r="G35" s="17" t="str">
        <x:v>Medium</x:v>
      </x:c>
      <x:c r="H35" s="44" t="str">
        <x:v>Not Run</x:v>
      </x:c>
      <x:c r="I35" s="45" t="str"/>
    </x:row>
    <x:row r="36" ht="48" customHeight="1">
      <x:c r="A36" s="43" t="str">
        <x:v>PI-FU-005</x:v>
      </x:c>
      <x:c r="B36" s="43" t="str">
        <x:v>Policy Issuance</x:v>
      </x:c>
      <x:c r="C36" s="43" t="str">
        <x:v>Validation</x:v>
      </x:c>
      <x:c r="D36" s="23" t="str">
        <x:v>PM Complete khi còn follow-up mở.</x:v>
      </x:c>
      <x:c r="E36" s="23" t="str">
        <x:v>Hệ thống chặn Complete.</x:v>
      </x:c>
      <x:c r="F36" s="43" t="str">
        <x:v>Submit but follow up</x:v>
      </x:c>
      <x:c r="G36" s="43" t="str">
        <x:v>High</x:v>
      </x:c>
      <x:c r="H36" s="44" t="str">
        <x:v>Not Run</x:v>
      </x:c>
      <x:c r="I36" s="45" t="str"/>
    </x:row>
    <x:row r="37" ht="48" customHeight="1">
      <x:c r="A37" s="17" t="str">
        <x:v>PI-END-001</x:v>
      </x:c>
      <x:c r="B37" s="17" t="str">
        <x:v>Policy Issuance</x:v>
      </x:c>
      <x:c r="C37" s="17" t="str">
        <x:v>Database</x:v>
      </x:c>
      <x:c r="D37" s="16" t="str">
        <x:v>UI Completed nhưng runtime chưa cập nhật cờ kết thúc.</x:v>
      </x:c>
      <x:c r="E37" s="16" t="str">
        <x:v>CompletedDate có giá trị, IsCompleted = 1.</x:v>
      </x:c>
      <x:c r="F37" s="17" t="str">
        <x:v>Completed</x:v>
      </x:c>
      <x:c r="G37" s="17" t="str">
        <x:v>High</x:v>
      </x:c>
      <x:c r="H37" s="44" t="str">
        <x:v>Not Run</x:v>
      </x:c>
      <x:c r="I37" s="45" t="str"/>
    </x:row>
    <x:row r="38" ht="48" customHeight="1">
      <x:c r="A38" s="43" t="str">
        <x:v>PI-END-002</x:v>
      </x:c>
      <x:c r="B38" s="43" t="str">
        <x:v>Policy Issuance</x:v>
      </x:c>
      <x:c r="C38" s="43" t="str">
        <x:v>Idempotency</x:v>
      </x:c>
      <x:c r="D38" s="23" t="str">
        <x:v>Chạy Complete lần hai.</x:v>
      </x:c>
      <x:c r="E38" s="23" t="str">
        <x:v>Lần hai bị chặn, không tạo log/instance trùng.</x:v>
      </x:c>
      <x:c r="F38" s="43" t="str">
        <x:v>Completed</x:v>
      </x:c>
      <x:c r="G38" s="43" t="str">
        <x:v>High</x:v>
      </x:c>
      <x:c r="H38" s="44" t="str">
        <x:v>Not Run</x:v>
      </x:c>
      <x:c r="I38" s="45" t="str"/>
    </x:row>
  </x:sheetData>
  <x:mergeCells>
    <x:mergeCell ref="A1:I1"/>
    <x:mergeCell ref="A2:I2"/>
  </x:mergeCells>
  <x:conditionalFormatting sqref="H6:H38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</x:conditionalFormatting>
  <x:dataValidations count="1">
    <x:dataValidation type="list" sqref="H6:H38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96" hidden="0" customWidth="1"/>
    <x:col min="4" max="4" width="48" hidden="0" customWidth="1"/>
  </x:cols>
  <x:sheetData>
    <x:row r="1" ht="28" customHeight="1">
      <x:c r="A1" s="2" t="str">
        <x:v>DB Checks</x:v>
      </x:c>
    </x:row>
    <x:row r="2" ht="26" customHeight="1">
      <x:c r="A2" s="5" t="str">
        <x:v>Các truy vấn chỉ chọn cột cần thiết</x:v>
      </x:c>
    </x:row>
    <x:row r="3">
      <x:c r="A3" s="6"/>
      <x:c r="B3" s="6"/>
      <x:c r="C3" s="6"/>
      <x:c r="D3" s="6"/>
    </x:row>
    <x:row r="5" ht="30" customHeight="1">
      <x:c r="A5" s="12" t="str">
        <x:v>No</x:v>
      </x:c>
      <x:c r="B5" s="12" t="str">
        <x:v>Purpose</x:v>
      </x:c>
      <x:c r="C5" s="12" t="str">
        <x:v>SQL</x:v>
      </x:c>
      <x:c r="D5" s="12" t="str">
        <x:v>Expected Result</x:v>
      </x:c>
    </x:row>
    <x:row r="6" ht="100" customHeight="1">
      <x:c r="A6" s="43" t="n">
        <x:v>1</x:v>
      </x:c>
      <x:c r="B6" s="23" t="str">
        <x:v>Kiểm tra workflow instance</x:v>
      </x:c>
      <x:c r="C6" s="46" t="str">
        <x:v>SELECT TOP 1 Id, Guid, RecordGuid, WorkflowDefinitionId, CurrentStep, CurrentOwnerRoleCode, LastActionCode, StartedDate, CompletedDate, IsCompleted, IsCancelled
FROM InstanceWorkflow
WHERE RecordGuid = @RecordGuid
ORDER BY Id DESC;</x:v>
      </x:c>
      <x:c r="D6" s="23" t="str">
        <x:v>CurrentStep, owner, action và cờ kết thúc khớp UI.</x:v>
      </x:c>
    </x:row>
    <x:row r="7" ht="100" customHeight="1">
      <x:c r="A7" s="17" t="n">
        <x:v>2</x:v>
      </x:c>
      <x:c r="B7" s="16" t="str">
        <x:v>Kiểm tra action của case</x:v>
      </x:c>
      <x:c r="C7" s="47" t="str">
        <x:v>SELECT Id, WorkflowDefinitionId, ActionCode, FromNodeId, ToNodeId, StatusId, StatusName, IsReturn, IsEnd, IsActive
FROM StepsWorkflow
WHERE WorkflowDefinitionId = @WorkflowDefinitionId
  AND ActionCode = @ActionCode;</x:v>
      </x:c>
      <x:c r="D7" s="16" t="str">
        <x:v>Action tồn tại, active và route đúng node.</x:v>
      </x:c>
    </x:row>
    <x:row r="8" ht="100" customHeight="1">
      <x:c r="A8" s="43" t="n">
        <x:v>3</x:v>
      </x:c>
      <x:c r="B8" s="23" t="str">
        <x:v>Kiểm tra CurrentStep</x:v>
      </x:c>
      <x:c r="C8" s="46" t="str">
        <x:v>SELECT Id, Code, WorkflowDefinitionId, IsActive, LastActionCode
FROM WorkflowInstanceNode
WHERE WorkflowDefinitionId = @WorkflowDefinitionId
  AND Code = @CurrentStep;</x:v>
      </x:c>
      <x:c r="D8" s="23" t="str">
        <x:v>CurrentStep thuộc đúng definition và node active.</x:v>
      </x:c>
    </x:row>
    <x:row r="9" ht="100" customHeight="1">
      <x:c r="A9" s="17" t="n">
        <x:v>4</x:v>
      </x:c>
      <x:c r="B9" s="16" t="str">
        <x:v>Kiểm tra instance trùng</x:v>
      </x:c>
      <x:c r="C9" s="47" t="str">
        <x:v>SELECT RecordGuid, WorkflowDefinitionId, COUNT(*) AS InstanceCount
FROM InstanceWorkflow
WHERE RecordGuid = @RecordGuid
GROUP BY RecordGuid, WorkflowDefinitionId;</x:v>
      </x:c>
      <x:c r="D9" s="16" t="str">
        <x:v>Một record không có instance active trùng.</x:v>
      </x:c>
    </x:row>
    <x:row r="10" ht="100" customHeight="1">
      <x:c r="A10" s="43" t="n">
        <x:v>5</x:v>
      </x:c>
      <x:c r="B10" s="23" t="str">
        <x:v>Kiểm tra end action</x:v>
      </x:c>
      <x:c r="C10" s="46" t="str">
        <x:v>SELECT Id, ActionCode, StatusName, IsEnd, ToNodeId
FROM StepsWorkflow
WHERE WorkflowDefinitionId = @WorkflowDefinitionId
  AND ActionCode IN ('CLIENT_CONFIRMED','CLIENT_REFUSED','LMKT_DECLINED');</x:v>
      </x:c>
      <x:c r="D10" s="23" t="str">
        <x:v>Action kết thúc phải đưa runtime về trạng thái phù hợp.</x:v>
      </x:c>
    </x:row>
    <x:row r="11" ht="100" customHeight="1">
      <x:c r="A11" s="17" t="n">
        <x:v>6</x:v>
      </x:c>
      <x:c r="B11" s="16" t="str">
        <x:v>Kiểm tra template tham chiếu</x:v>
      </x:c>
      <x:c r="C11" s="47" t="str">
        <x:v>SELECT Id, ActionCode, NotificationTemplateId, MailTemplateId
FROM StepsWorkflow
WHERE WorkflowDefinitionId = @WorkflowDefinitionId
  AND IsActive = 1;</x:v>
      </x:c>
      <x:c r="D11" s="16" t="str">
        <x:v>Template ID được tham chiếu phải tồn tại.</x:v>
      </x:c>
    </x:row>
    <x:row r="13">
      <x:c r="A13" s="20" t="str">
        <x:v>Điểm cần Business xác nhận</x:v>
      </x:c>
      <x:c r="B13" s="21"/>
      <x:c r="C13" s="21"/>
      <x:c r="D13" s="22"/>
    </x:row>
    <x:row r="14" ht="30" customHeight="1">
      <x:c r="A14" s="12" t="str">
        <x:v>No</x:v>
      </x:c>
      <x:c r="B14" s="12" t="str">
        <x:v>Topic</x:v>
      </x:c>
      <x:c r="C14" s="12" t="str">
        <x:v>Question</x:v>
      </x:c>
      <x:c r="D14" s="12" t="str">
        <x:v>Impact</x:v>
      </x:c>
    </x:row>
    <x:row r="15" ht="48" customHeight="1">
      <x:c r="A15" s="43" t="n">
        <x:v>1</x:v>
      </x:c>
      <x:c r="B15" s="23" t="str">
        <x:v>Withdraw</x:v>
      </x:c>
      <x:c r="C15" s="23" t="str">
        <x:v>Có cho withdraw sau PM Accept không?</x:v>
      </x:c>
      <x:c r="D15" s="23" t="str">
        <x:v>Quyền action, TAT và trạng thái kết thúc.</x:v>
      </x:c>
    </x:row>
    <x:row r="16" ht="48" customHeight="1">
      <x:c r="A16" s="17" t="n">
        <x:v>2</x:v>
      </x:c>
      <x:c r="B16" s="16" t="str">
        <x:v>Withdraw</x:v>
      </x:c>
      <x:c r="C16" s="16" t="str">
        <x:v>Có cho withdraw sau khi đã Submit Policy/Core PA không?</x:v>
      </x:c>
      <x:c r="D16" s="16" t="str">
        <x:v>Cần xác định thao tác hủy trên Core PA.</x:v>
      </x:c>
    </x:row>
    <x:row r="17" ht="48" customHeight="1">
      <x:c r="A17" s="43" t="n">
        <x:v>3</x:v>
      </x:c>
      <x:c r="B17" s="23" t="str">
        <x:v>Client Confirm</x:v>
      </x:c>
      <x:c r="C17" s="23" t="str">
        <x:v>FO ghi nhận thay khách hàng hay khách hàng có tài khoản thao tác?</x:v>
      </x:c>
      <x:c r="D17" s="23" t="str">
        <x:v>Actor, quyền và audit log.</x:v>
      </x:c>
    </x:row>
    <x:row r="18" ht="48" customHeight="1">
      <x:c r="A18" s="17" t="n">
        <x:v>4</x:v>
      </x:c>
      <x:c r="B18" s="16" t="str">
        <x:v>Skip MGR</x:v>
      </x:c>
      <x:c r="C18" s="16" t="str">
        <x:v>Tiêu chí quotation/endorsement nào được skip MGR?</x:v>
      </x:c>
      <x:c r="D18" s="16" t="str">
        <x:v>Condition của transition và test data.</x:v>
      </x:c>
    </x:row>
    <x:row r="19" ht="48" customHeight="1">
      <x:c r="A19" s="43" t="n">
        <x:v>5</x:v>
      </x:c>
      <x:c r="B19" s="23" t="str">
        <x:v>PM Return</x:v>
      </x:c>
      <x:c r="C19" s="23" t="str">
        <x:v>Request tạo từ TS nhưng PM return thì về TS hay FO?</x:v>
      </x:c>
      <x:c r="D19" s="23" t="str">
        <x:v>Đích route và owner.</x:v>
      </x:c>
    </x:row>
    <x:row r="20" ht="48" customHeight="1">
      <x:c r="A20" s="17" t="n">
        <x:v>6</x:v>
      </x:c>
      <x:c r="B20" s="16" t="str">
        <x:v>Cancel Withdraw</x:v>
      </x:c>
      <x:c r="C20" s="16" t="str">
        <x:v>Cancel và Withdraw của PI có phải hai trạng thái khác nhau?</x:v>
      </x:c>
      <x:c r="D20" s="16" t="str">
        <x:v>Status, báo cáo và khả năng reopen.</x:v>
      </x:c>
    </x:row>
    <x:row r="21" ht="48" customHeight="1">
      <x:c r="A21" s="43" t="n">
        <x:v>7</x:v>
      </x:c>
      <x:c r="B21" s="23" t="str">
        <x:v>Re-sign</x:v>
      </x:c>
      <x:c r="C21" s="23" t="str">
        <x:v>Bản ký cũ được đánh dấu invalid hay chỉ lưu version history?</x:v>
      </x:c>
      <x:c r="D21" s="23" t="str">
        <x:v>Document version và audit.</x:v>
      </x:c>
    </x:row>
    <x:row r="22" ht="48" customHeight="1">
      <x:c r="A22" s="17" t="n">
        <x:v>8</x:v>
      </x:c>
      <x:c r="B22" s="16" t="str">
        <x:v>One to One</x:v>
      </x:c>
      <x:c r="C22" s="16" t="str">
        <x:v>Một quotation một PI được chặn cứng hay chỉ cảnh báo?</x:v>
      </x:c>
      <x:c r="D22" s="16" t="str">
        <x:v>Validation và duplicate handling.</x:v>
      </x:c>
    </x:row>
  </x:sheetData>
  <x:mergeCells>
    <x:mergeCell ref="A1:D1"/>
    <x:mergeCell ref="A2:D2"/>
    <x:mergeCell ref="A13:D13"/>
  </x:mergeCells>
  <x:pageMargins left="0.7" right="0.7" top="0.75" bottom="0.75" header="0.3" footer="0.3"/>
</x:worksheet>
</file>