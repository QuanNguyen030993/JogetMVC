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9166f70d7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7928101155044e6"/>
    <x:sheet xmlns:r="http://schemas.openxmlformats.org/officeDocument/2006/relationships" name="Test Data" sheetId="2" r:id="R2c4eda8867084278"/>
    <x:sheet xmlns:r="http://schemas.openxmlformats.org/officeDocument/2006/relationships" name="Test Steps" sheetId="3" r:id="Rf8f58aa499b54848"/>
    <x:sheet xmlns:r="http://schemas.openxmlformats.org/officeDocument/2006/relationships" name="DB Checks" sheetId="4" r:id="R204e8e02f8ee4f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000000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202124"/>
      <x:name val="Arial"/>
    </x:font>
    <x:font>
      <x:b/>
      <x:sz val="11"/>
      <x:color rgb="FF000000"/>
      <x:name val="Arial"/>
    </x:font>
    <x:font>
      <x:b/>
      <x:sz val="10"/>
      <x:color rgb="FF202124"/>
      <x:name val="Arial"/>
    </x:font>
    <x:font>
      <x:sz val="9"/>
      <x:color rgb="FF202124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3F7FB"/>
      </x:patternFill>
    </x:fill>
  </x:fills>
  <x:borders count="13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3" xfId="0" applyNumberFormat="1" applyFont="1" applyFill="1" applyBorder="1"/>
    <x:xf numFmtId="0" fontId="4" fillId="5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horizontal="center" vertical="top" wrapText="1"/>
    </x:xf>
    <x:xf numFmtId="0" fontId="4" fillId="3" borderId="3" xfId="0" applyNumberFormat="1" applyFont="1" applyFill="1" applyBorder="1" applyAlignment="1">
      <x:alignment horizontal="center"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5" fillId="4" borderId="4" xfId="0" applyNumberFormat="1" applyFont="1" applyFill="1" applyBorder="1" applyAlignment="1">
      <x:alignment vertical="top"/>
    </x:xf>
    <x:xf numFmtId="0" fontId="5" fillId="4" borderId="5" xfId="0" applyNumberFormat="1" applyFont="1" applyFill="1" applyBorder="1" applyAlignment="1">
      <x:alignment vertical="top"/>
    </x:xf>
    <x:xf numFmtId="0" fontId="5" fillId="4" borderId="6" xfId="0" applyNumberFormat="1" applyFont="1" applyFill="1" applyBorder="1" applyAlignment="1">
      <x:alignment vertical="top"/>
    </x:xf>
    <x:xf numFmtId="0" fontId="6" fillId="5" borderId="3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5255125bf64876" /><Relationship Type="http://schemas.openxmlformats.org/officeDocument/2006/relationships/theme" Target="/xl/theme/theme1.xml" Id="R268cff22ba354db1" /><Relationship Type="http://schemas.openxmlformats.org/officeDocument/2006/relationships/sharedStrings" Target="/xl/sharedStrings.xml" Id="Rfeae0dbd060d41f2" /><Relationship Type="http://schemas.openxmlformats.org/officeDocument/2006/relationships/worksheet" Target="/xl/worksheets/sheet1.xml" Id="Rc7928101155044e6" /><Relationship Type="http://schemas.openxmlformats.org/officeDocument/2006/relationships/worksheet" Target="/xl/worksheets/sheet2.xml" Id="R2c4eda8867084278" /><Relationship Type="http://schemas.openxmlformats.org/officeDocument/2006/relationships/worksheet" Target="/xl/worksheets/sheet3.xml" Id="Rf8f58aa499b54848" /><Relationship Type="http://schemas.openxmlformats.org/officeDocument/2006/relationships/worksheet" Target="/xl/worksheets/sheet4.xml" Id="R204e8e02f8ee4f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5" hidden="0" customWidth="1"/>
    <x:col min="6" max="6" width="25" hidden="0" customWidth="1"/>
    <x:col min="7" max="7" width="18" hidden="0" customWidth="1"/>
    <x:col min="8" max="8" width="18" hidden="0" customWidth="1"/>
  </x:cols>
  <x:sheetData>
    <x:row r="1" ht="21.600000381469727" hidden="0" customHeight="1">
      <x:c r="A1" s="51" t="str">
        <x:v>Test Case Happy Path Quotation</x:v>
      </x:c>
      <x:c r="B1" s="52"/>
      <x:c r="C1" s="52"/>
      <x:c r="D1" s="52"/>
      <x:c r="E1" s="52"/>
      <x:c r="F1" s="52"/>
      <x:c r="G1" s="52"/>
      <x:c r="H1" s="52"/>
    </x:row>
    <x:row r="2" ht="15" hidden="0" customHeight="1">
      <x:c r="A2" s="53" t="str">
        <x:v>Báo giá tiêu chuẩn qua TS, không referral UW và được khách hàng xác nhận</x:v>
      </x:c>
      <x:c r="B2" s="52"/>
      <x:c r="C2" s="52"/>
      <x:c r="D2" s="52"/>
      <x:c r="E2" s="52"/>
      <x:c r="F2" s="52"/>
      <x:c r="G2" s="52"/>
      <x:c r="H2" s="52"/>
    </x:row>
    <x:row r="3" ht="15" hidden="0" customHeight="1">
      <x:c r="A3" s="54"/>
      <x:c r="B3" s="54"/>
      <x:c r="C3" s="54"/>
      <x:c r="D3" s="54"/>
      <x:c r="E3" s="54"/>
      <x:c r="F3" s="54"/>
      <x:c r="G3" s="54"/>
      <x:c r="H3" s="54"/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15" hidden="0" customHeight="1">
      <x:c r="A5" s="55" t="str">
        <x:v>Test Case ID</x:v>
      </x:c>
      <x:c r="B5" s="55" t="str">
        <x:v>Module</x:v>
      </x:c>
      <x:c r="C5" s="55" t="str">
        <x:v>Priority</x:v>
      </x:c>
      <x:c r="D5" s="55" t="str">
        <x:v>Scenario</x:v>
      </x:c>
      <x:c r="E5" s="55" t="str">
        <x:v>Workflow</x:v>
      </x:c>
      <x:c r="F5" s="55" t="str">
        <x:v>Expected Final Status</x:v>
      </x:c>
      <x:c r="G5" s="55" t="str">
        <x:v>Test Result</x:v>
      </x:c>
      <x:c r="H5" s="55" t="str">
        <x:v>Tester</x:v>
      </x:c>
    </x:row>
    <x:row r="6" ht="24" hidden="0" customHeight="1">
      <x:c r="A6" s="16" t="str">
        <x:v>QUO_HP_001</x:v>
      </x:c>
      <x:c r="B6" s="16" t="str">
        <x:v>Quotation</x:v>
      </x:c>
      <x:c r="C6" s="16" t="str">
        <x:v>High</x:v>
      </x:c>
      <x:c r="D6" s="16" t="str">
        <x:v>New Business</x:v>
      </x:c>
      <x:c r="E6" s="16" t="str">
        <x:v>DEMO_FLOW</x:v>
      </x:c>
      <x:c r="F6" s="16" t="str">
        <x:v>Quotation Confirmed / Completed</x:v>
      </x:c>
      <x:c r="G6" s="17" t="str">
        <x:v>Not Run</x:v>
      </x:c>
      <x:c r="H6" s="16" t="str"/>
    </x:row>
    <x:row r="7">
      <x:c r="A7" s="52"/>
      <x:c r="B7" s="52"/>
      <x:c r="C7" s="52"/>
      <x:c r="D7" s="52"/>
      <x:c r="E7" s="52"/>
      <x:c r="F7" s="52"/>
      <x:c r="G7" s="52"/>
      <x:c r="H7" s="52"/>
    </x:row>
    <x:row r="8" ht="15" hidden="0" customHeight="1">
      <x:c r="A8" s="56" t="str">
        <x:v>Mục tiêu</x:v>
      </x:c>
      <x:c r="B8" s="57"/>
      <x:c r="C8" s="57"/>
      <x:c r="D8" s="57"/>
      <x:c r="E8" s="57"/>
      <x:c r="F8" s="57"/>
      <x:c r="G8" s="57"/>
      <x:c r="H8" s="58"/>
    </x:row>
    <x:row r="9">
      <x:c r="A9" s="36" t="str">
        <x:v>Xác nhận một yêu cầu báo giá đi đúng luồng FO → TS → FO → LMKT → FO → khách hàng, không phát sinh return, revise, decline hoặc UW referral, và kết thúc ở trạng thái Completed.</x:v>
      </x:c>
      <x:c r="B9" s="37"/>
      <x:c r="C9" s="37"/>
      <x:c r="D9" s="37"/>
      <x:c r="E9" s="37"/>
      <x:c r="F9" s="37"/>
      <x:c r="G9" s="37"/>
      <x:c r="H9" s="38"/>
    </x:row>
    <x:row r="10">
      <x:c r="A10" s="39"/>
      <x:c r="B10" s="40"/>
      <x:c r="C10" s="40"/>
      <x:c r="D10" s="40"/>
      <x:c r="E10" s="40"/>
      <x:c r="F10" s="40"/>
      <x:c r="G10" s="40"/>
      <x:c r="H10" s="41"/>
    </x:row>
    <x:row r="11">
      <x:c r="A11" s="52"/>
      <x:c r="B11" s="52"/>
      <x:c r="C11" s="52"/>
      <x:c r="D11" s="52"/>
      <x:c r="E11" s="52"/>
      <x:c r="F11" s="52"/>
      <x:c r="G11" s="52"/>
      <x:c r="H11" s="52"/>
    </x:row>
    <x:row r="12" ht="15" hidden="0" customHeight="1">
      <x:c r="A12" s="56" t="str">
        <x:v>Điều kiện tiên quyết</x:v>
      </x:c>
      <x:c r="B12" s="57"/>
      <x:c r="C12" s="57"/>
      <x:c r="D12" s="57"/>
      <x:c r="E12" s="57"/>
      <x:c r="F12" s="57"/>
      <x:c r="G12" s="57"/>
      <x:c r="H12" s="58"/>
    </x:row>
    <x:row r="13" ht="15" hidden="0" customHeight="1">
      <x:c r="A13" s="42" t="n">
        <x:v>1</x:v>
      </x:c>
      <x:c r="B13" s="16" t="str">
        <x:v>Tài khoản FO, TS và LMKT đang hoạt động, có role và quyền phù hợp.</x:v>
      </x:c>
      <x:c r="C13" s="16"/>
      <x:c r="D13" s="16"/>
      <x:c r="E13" s="16"/>
      <x:c r="F13" s="16"/>
      <x:c r="G13" s="16"/>
      <x:c r="H13" s="16"/>
    </x:row>
    <x:row r="14" ht="15" hidden="0" customHeight="1">
      <x:c r="A14" s="42" t="n">
        <x:v>2</x:v>
      </x:c>
      <x:c r="B14" s="16" t="str">
        <x:v>WorkflowDefinition DEMO_FLOW đang active và các action trong kịch bản tồn tại trong StepsWorkflow.</x:v>
      </x:c>
      <x:c r="C14" s="16"/>
      <x:c r="D14" s="16"/>
      <x:c r="E14" s="16"/>
      <x:c r="F14" s="16"/>
      <x:c r="G14" s="16"/>
      <x:c r="H14" s="16"/>
    </x:row>
    <x:row r="15" ht="15" hidden="0" customHeight="1">
      <x:c r="A15" s="42" t="n">
        <x:v>3</x:v>
      </x:c>
      <x:c r="B15" s="16" t="str">
        <x:v>Client, Line of Business, sản phẩm, tiền tệ và dữ liệu master cần thiết đã tồn tại.</x:v>
      </x:c>
      <x:c r="C15" s="16"/>
      <x:c r="D15" s="16"/>
      <x:c r="E15" s="16"/>
      <x:c r="F15" s="16"/>
      <x:c r="G15" s="16"/>
      <x:c r="H15" s="16"/>
    </x:row>
    <x:row r="16" ht="15" hidden="0" customHeight="1">
      <x:c r="A16" s="42" t="n">
        <x:v>4</x:v>
      </x:c>
      <x:c r="B16" s="16" t="str">
        <x:v>Quotation template, email template và notification template đã được cấu hình.</x:v>
      </x:c>
      <x:c r="C16" s="16"/>
      <x:c r="D16" s="16"/>
      <x:c r="E16" s="16"/>
      <x:c r="F16" s="16"/>
      <x:c r="G16" s="16"/>
      <x:c r="H16" s="16"/>
    </x:row>
    <x:row r="17" ht="15" hidden="0" customHeight="1">
      <x:c r="A17" s="42" t="n">
        <x:v>5</x:v>
      </x:c>
      <x:c r="B17" s="16" t="str">
        <x:v>Các file kiểm thử đúng định dạng và không vượt giới hạn dung lượng.</x:v>
      </x:c>
      <x:c r="C17" s="16"/>
      <x:c r="D17" s="16"/>
      <x:c r="E17" s="16"/>
      <x:c r="F17" s="16"/>
      <x:c r="G17" s="16"/>
      <x:c r="H17" s="16"/>
    </x:row>
    <x:row r="18">
      <x:c r="A18" s="52"/>
      <x:c r="B18" s="52"/>
      <x:c r="C18" s="52"/>
      <x:c r="D18" s="52"/>
      <x:c r="E18" s="52"/>
      <x:c r="F18" s="52"/>
      <x:c r="G18" s="52"/>
      <x:c r="H18" s="52"/>
    </x:row>
    <x:row r="19" ht="15" hidden="0" customHeight="1">
      <x:c r="A19" s="56" t="str">
        <x:v>Phạm vi và kết quả</x:v>
      </x:c>
      <x:c r="B19" s="57"/>
      <x:c r="C19" s="57"/>
      <x:c r="D19" s="57"/>
      <x:c r="E19" s="57"/>
      <x:c r="F19" s="57"/>
      <x:c r="G19" s="57"/>
      <x:c r="H19" s="58"/>
    </x:row>
    <x:row r="20" ht="15" hidden="0" customHeight="1">
      <x:c r="A20" s="59" t="str">
        <x:v>Luồng thực hiện</x:v>
      </x:c>
      <x:c r="B20" s="16" t="str">
        <x:v>FO → TS → FO → LMKT → FO → Client Confirmed</x:v>
      </x:c>
      <x:c r="C20" s="16"/>
      <x:c r="D20" s="16"/>
      <x:c r="E20" s="16"/>
      <x:c r="F20" s="16"/>
      <x:c r="G20" s="16"/>
      <x:c r="H20" s="16"/>
    </x:row>
    <x:row r="21" ht="15" hidden="0" customHeight="1">
      <x:c r="A21" s="59" t="str">
        <x:v>Ngoài phạm vi</x:v>
      </x:c>
      <x:c r="B21" s="16" t="str">
        <x:v>UW referral, return, revise, cancel và client refusal</x:v>
      </x:c>
      <x:c r="C21" s="16"/>
      <x:c r="D21" s="16"/>
      <x:c r="E21" s="16"/>
      <x:c r="F21" s="16"/>
      <x:c r="G21" s="16"/>
      <x:c r="H21" s="16"/>
    </x:row>
    <x:row r="22" ht="15" hidden="0" customHeight="1">
      <x:c r="A22" s="59" t="str">
        <x:v>Điều kiện Pass</x:v>
      </x:c>
      <x:c r="B22" s="16" t="str">
        <x:v>10 trên 10 bước Pass và trạng thái cuối được đồng bộ đúng</x:v>
      </x:c>
      <x:c r="C22" s="16"/>
      <x:c r="D22" s="16"/>
      <x:c r="E22" s="16"/>
      <x:c r="F22" s="16"/>
      <x:c r="G22" s="16"/>
      <x:c r="H22" s="16"/>
    </x:row>
    <x:row r="23" ht="15" hidden="0" customHeight="1">
      <x:c r="A23" s="59" t="str">
        <x:v>Nguồn</x:v>
      </x:c>
      <x:c r="B23" s="16" t="str">
        <x:v>BRD Workflow Managermentt v1.0 3 updated.docx; workflow source và dữ liệu WorkflowManagementv2</x:v>
      </x:c>
      <x:c r="C23" s="16"/>
      <x:c r="D23" s="16"/>
      <x:c r="E23" s="16"/>
      <x:c r="F23" s="16"/>
      <x:c r="G23" s="16"/>
      <x:c r="H23" s="16"/>
    </x:row>
    <x:row r="24">
      <x:c r="A24" s="52"/>
      <x:c r="B24" s="52"/>
      <x:c r="C24" s="52"/>
      <x:c r="D24" s="52"/>
      <x:c r="E24" s="52"/>
      <x:c r="F24" s="52"/>
      <x:c r="G24" s="52"/>
      <x:c r="H24" s="52"/>
    </x:row>
    <x:row r="25" ht="15" hidden="0" customHeight="1">
      <x:c r="A25" s="56" t="str">
        <x:v>Theo dõi kết quả từ Test Steps</x:v>
      </x:c>
      <x:c r="B25" s="57"/>
      <x:c r="C25" s="57"/>
      <x:c r="D25" s="57"/>
      <x:c r="E25" s="57"/>
      <x:c r="F25" s="57"/>
      <x:c r="G25" s="57"/>
      <x:c r="H25" s="58"/>
    </x:row>
    <x:row r="26" ht="15" hidden="0" customHeight="1">
      <x:c r="A26" s="55" t="str">
        <x:v>Tổng bước</x:v>
      </x:c>
      <x:c r="B26" s="55" t="str">
        <x:v>Đã chạy</x:v>
      </x:c>
      <x:c r="C26" s="55" t="str">
        <x:v>Pass</x:v>
      </x:c>
      <x:c r="D26" s="55" t="str">
        <x:v>Fail hoặc Blocked</x:v>
      </x:c>
      <x:c r="E26" s="52"/>
      <x:c r="F26" s="52"/>
      <x:c r="G26" s="52"/>
      <x:c r="H26" s="52"/>
    </x:row>
    <x:row r="27" ht="15" hidden="0" customHeight="1">
      <x:c r="A27" s="42" t="n">
        <x:f>COUNTA('Test Steps'!A6:A15)</x:f>
        <x:v>10</x:v>
      </x:c>
      <x:c r="B27" s="42" t="n">
        <x:f>COUNTIF('Test Steps'!G6:G15,"Pass")+COUNTIF('Test Steps'!G6:G15,"Fail")+COUNTIF('Test Steps'!G6:G15,"Blocked")</x:f>
        <x:v>0</x:v>
      </x:c>
      <x:c r="C27" s="42" t="n">
        <x:f>COUNTIF('Test Steps'!G6:G15,"Pass")</x:f>
        <x:v>0</x:v>
      </x:c>
      <x:c r="D27" s="42" t="n">
        <x:f>COUNTIF('Test Steps'!G6:G15,"Fail")+COUNTIF('Test Steps'!G6:G15,"Blocked")</x:f>
        <x:v>0</x:v>
      </x:c>
      <x:c r="E27" s="52"/>
      <x:c r="F27" s="52"/>
      <x:c r="G27" s="52"/>
      <x:c r="H27" s="52"/>
    </x:row>
    <x:row r="28"/>
    <x:row r="29"/>
    <x:row r="30"/>
  </x:sheetData>
  <x:mergeCells>
    <x:mergeCell ref="A1:H1"/>
    <x:mergeCell ref="A2:H2"/>
    <x:mergeCell ref="A8:H8"/>
    <x:mergeCell ref="A9:H10"/>
    <x:mergeCell ref="A12:H12"/>
    <x:mergeCell ref="B13:H13"/>
    <x:mergeCell ref="B14:H14"/>
    <x:mergeCell ref="B15:H15"/>
    <x:mergeCell ref="B16:H16"/>
    <x:mergeCell ref="B17:H17"/>
    <x:mergeCell ref="A19:H19"/>
    <x:mergeCell ref="B20:H20"/>
    <x:mergeCell ref="B21:H21"/>
    <x:mergeCell ref="B22:H22"/>
    <x:mergeCell ref="B23:H23"/>
    <x:mergeCell ref="A25:H25"/>
  </x:mergeCells>
  <x:dataValidations count="1">
    <x:dataValidation type="list" sqref="G6">
      <x:formula1>"Not Run,Pass,Fail,Blocked"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25" hidden="0" customWidth="1"/>
    <x:col min="3" max="3" width="32" hidden="0" customWidth="1"/>
    <x:col min="4" max="4" width="12" hidden="0" customWidth="1"/>
    <x:col min="5" max="5" width="36" hidden="0" customWidth="1"/>
    <x:col min="6" max="6" width="28" hidden="0" customWidth="1"/>
  </x:cols>
  <x:sheetData>
    <x:row r="1" ht="21.600000381469727" hidden="0" customHeight="1">
      <x:c r="A1" s="51" t="str">
        <x:v>Test Data</x:v>
      </x:c>
      <x:c r="B1" s="52"/>
      <x:c r="C1" s="52"/>
      <x:c r="D1" s="52"/>
      <x:c r="E1" s="52"/>
      <x:c r="F1" s="52"/>
    </x:row>
    <x:row r="2" ht="15" hidden="0" customHeight="1">
      <x:c r="A2" s="53" t="str">
        <x:v>Dữ liệu đầu vào cho QUO_HP_001</x:v>
      </x:c>
      <x:c r="B2" s="52"/>
      <x:c r="C2" s="52"/>
      <x:c r="D2" s="52"/>
      <x:c r="E2" s="52"/>
      <x:c r="F2" s="52"/>
    </x:row>
    <x:row r="3" ht="15" hidden="0" customHeight="1">
      <x:c r="A3" s="54"/>
      <x:c r="B3" s="54"/>
      <x:c r="C3" s="54"/>
      <x:c r="D3" s="54"/>
      <x:c r="E3" s="54"/>
      <x:c r="F3" s="54"/>
    </x:row>
    <x:row r="4">
      <x:c r="A4" s="52"/>
      <x:c r="B4" s="52"/>
      <x:c r="C4" s="52"/>
      <x:c r="D4" s="52"/>
      <x:c r="E4" s="52"/>
      <x:c r="F4" s="52"/>
    </x:row>
    <x:row r="5" ht="15" hidden="0" customHeight="1">
      <x:c r="A5" s="55" t="str">
        <x:v>No</x:v>
      </x:c>
      <x:c r="B5" s="55" t="str">
        <x:v>Field</x:v>
      </x:c>
      <x:c r="C5" s="55" t="str">
        <x:v>Test Value</x:v>
      </x:c>
      <x:c r="D5" s="55" t="str">
        <x:v>Required</x:v>
      </x:c>
      <x:c r="E5" s="55" t="str">
        <x:v>Expected Validation</x:v>
      </x:c>
      <x:c r="F5" s="55" t="str">
        <x:v>Actual Value</x:v>
      </x:c>
    </x:row>
    <x:row r="6" ht="15" hidden="0" customHeight="1">
      <x:c r="A6" s="47" t="n">
        <x:v>1</x:v>
      </x:c>
      <x:c r="B6" s="46" t="str">
        <x:v>Transaction Type</x:v>
      </x:c>
      <x:c r="C6" s="46" t="str">
        <x:v>New Business</x:v>
      </x:c>
      <x:c r="D6" s="47" t="str">
        <x:v>Yes</x:v>
      </x:c>
      <x:c r="E6" s="46" t="str">
        <x:v>Giá trị được chấp nhận</x:v>
      </x:c>
      <x:c r="F6" s="17" t="str"/>
    </x:row>
    <x:row r="7" ht="15" hidden="0" customHeight="1">
      <x:c r="A7" s="42" t="n">
        <x:v>2</x:v>
      </x:c>
      <x:c r="B7" s="16" t="str">
        <x:v>Client</x:v>
      </x:c>
      <x:c r="C7" s="16" t="str">
        <x:v>TC Quotation Happy Client</x:v>
      </x:c>
      <x:c r="D7" s="42" t="str">
        <x:v>Yes</x:v>
      </x:c>
      <x:c r="E7" s="16" t="str">
        <x:v>Client tồn tại và active</x:v>
      </x:c>
      <x:c r="F7" s="17" t="str"/>
    </x:row>
    <x:row r="8" ht="15" hidden="0" customHeight="1">
      <x:c r="A8" s="47" t="n">
        <x:v>3</x:v>
      </x:c>
      <x:c r="B8" s="46" t="str">
        <x:v>Line of Business</x:v>
      </x:c>
      <x:c r="C8" s="46" t="str">
        <x:v>Fire</x:v>
      </x:c>
      <x:c r="D8" s="47" t="str">
        <x:v>Yes</x:v>
      </x:c>
      <x:c r="E8" s="46" t="str">
        <x:v>LoB tồn tại và active</x:v>
      </x:c>
      <x:c r="F8" s="17" t="str"/>
    </x:row>
    <x:row r="9" ht="15" hidden="0" customHeight="1">
      <x:c r="A9" s="42" t="n">
        <x:v>4</x:v>
      </x:c>
      <x:c r="B9" s="16" t="str">
        <x:v>Effective Date</x:v>
      </x:c>
      <x:c r="C9" s="16" t="str">
        <x:v>Ngày hợp lệ trong tương lai</x:v>
      </x:c>
      <x:c r="D9" s="42" t="str">
        <x:v>Yes</x:v>
      </x:c>
      <x:c r="E9" s="16" t="str">
        <x:v>Nhỏ hơn Expiry Date</x:v>
      </x:c>
      <x:c r="F9" s="17" t="str"/>
    </x:row>
    <x:row r="10" ht="15" hidden="0" customHeight="1">
      <x:c r="A10" s="47" t="n">
        <x:v>5</x:v>
      </x:c>
      <x:c r="B10" s="46" t="str">
        <x:v>Expiry Date</x:v>
      </x:c>
      <x:c r="C10" s="46" t="str">
        <x:v>Effective Date cộng 1 năm</x:v>
      </x:c>
      <x:c r="D10" s="47" t="str">
        <x:v>Yes</x:v>
      </x:c>
      <x:c r="E10" s="46" t="str">
        <x:v>Lớn hơn Effective Date</x:v>
      </x:c>
      <x:c r="F10" s="17" t="str"/>
    </x:row>
    <x:row r="11" ht="15" hidden="0" customHeight="1">
      <x:c r="A11" s="42" t="n">
        <x:v>6</x:v>
      </x:c>
      <x:c r="B11" s="16" t="str">
        <x:v>Refer UW</x:v>
      </x:c>
      <x:c r="C11" s="16" t="str">
        <x:v>No</x:v>
      </x:c>
      <x:c r="D11" s="42" t="str">
        <x:v>Yes</x:v>
      </x:c>
      <x:c r="E11" s="16" t="str">
        <x:v>Không tạo UW task</x:v>
      </x:c>
      <x:c r="F11" s="17" t="str"/>
    </x:row>
    <x:row r="12" ht="15" hidden="0" customHeight="1">
      <x:c r="A12" s="47" t="n">
        <x:v>7</x:v>
      </x:c>
      <x:c r="B12" s="46" t="str">
        <x:v>Quotation Quantity</x:v>
      </x:c>
      <x:c r="C12" s="46" t="n">
        <x:v>1</x:v>
      </x:c>
      <x:c r="D12" s="47" t="str">
        <x:v>Yes</x:v>
      </x:c>
      <x:c r="E12" s="46" t="str">
        <x:v>Sinh đúng một quotation code Q1</x:v>
      </x:c>
      <x:c r="F12" s="17" t="str"/>
    </x:row>
    <x:row r="13" ht="15" hidden="0" customHeight="1">
      <x:c r="A13" s="42" t="n">
        <x:v>8</x:v>
      </x:c>
      <x:c r="B13" s="16" t="str">
        <x:v>Request Attachment</x:v>
      </x:c>
      <x:c r="C13" s="16" t="str">
        <x:v>request detail.pdf</x:v>
      </x:c>
      <x:c r="D13" s="42" t="str">
        <x:v>Yes</x:v>
      </x:c>
      <x:c r="E13" s="16" t="str">
        <x:v>Upload thành công</x:v>
      </x:c>
      <x:c r="F13" s="17" t="str"/>
    </x:row>
    <x:row r="14" ht="15" hidden="0" customHeight="1">
      <x:c r="A14" s="47" t="n">
        <x:v>9</x:v>
      </x:c>
      <x:c r="B14" s="46" t="str">
        <x:v>Quotation Document</x:v>
      </x:c>
      <x:c r="C14" s="46" t="str">
        <x:v>quotation Q1.pdf</x:v>
      </x:c>
      <x:c r="D14" s="47" t="str">
        <x:v>Yes</x:v>
      </x:c>
      <x:c r="E14" s="46" t="str">
        <x:v>Lưu đúng quotation Q1</x:v>
      </x:c>
      <x:c r="F14" s="17" t="str"/>
    </x:row>
    <x:row r="15" ht="15" hidden="0" customHeight="1">
      <x:c r="A15" s="42" t="n">
        <x:v>10</x:v>
      </x:c>
      <x:c r="B15" s="16" t="str">
        <x:v>Client Confirmation</x:v>
      </x:c>
      <x:c r="C15" s="16" t="str">
        <x:v>Accepted</x:v>
      </x:c>
      <x:c r="D15" s="42" t="str">
        <x:v>Yes</x:v>
      </x:c>
      <x:c r="E15" s="16" t="str">
        <x:v>Cho phép hoàn tất workflow</x:v>
      </x:c>
      <x:c r="F15" s="17" t="str"/>
    </x:row>
    <x:row r="16" ht="15" hidden="0" customHeight="1">
      <x:c r="A16" s="47" t="n">
        <x:v>11</x:v>
      </x:c>
      <x:c r="B16" s="46" t="str">
        <x:v>Confirmation Attachment</x:v>
      </x:c>
      <x:c r="C16" s="46" t="str">
        <x:v>client confirmation.pdf</x:v>
      </x:c>
      <x:c r="D16" s="47" t="str">
        <x:v>Yes</x:v>
      </x:c>
      <x:c r="E16" s="46" t="str">
        <x:v>Lưu cùng client confirmation</x:v>
      </x:c>
      <x:c r="F16" s="17" t="str"/>
    </x:row>
    <x:row r="17"/>
    <x:row r="18"/>
    <x:row r="19"/>
    <x:row r="20"/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44" hidden="0" customWidth="1"/>
    <x:col min="4" max="4" width="53" hidden="0" customWidth="1"/>
    <x:col min="5" max="5" width="24" hidden="0" customWidth="1"/>
    <x:col min="6" max="6" width="28" hidden="0" customWidth="1"/>
    <x:col min="7" max="7" width="14" hidden="0" customWidth="1"/>
    <x:col min="8" max="8" width="32" hidden="0" customWidth="1"/>
  </x:cols>
  <x:sheetData>
    <x:row r="1" ht="21.600000381469727" hidden="0" customHeight="1">
      <x:c r="A1" s="51" t="str">
        <x:v>Test Steps</x:v>
      </x:c>
      <x:c r="B1" s="52"/>
      <x:c r="C1" s="52"/>
      <x:c r="D1" s="52"/>
      <x:c r="E1" s="52"/>
      <x:c r="F1" s="52"/>
      <x:c r="G1" s="52"/>
      <x:c r="H1" s="52"/>
    </x:row>
    <x:row r="2" ht="15" hidden="0" customHeight="1">
      <x:c r="A2" s="53" t="str">
        <x:v>Thực hiện tuần tự từ bước 1 đến bước 10</x:v>
      </x:c>
      <x:c r="B2" s="52"/>
      <x:c r="C2" s="52"/>
      <x:c r="D2" s="52"/>
      <x:c r="E2" s="52"/>
      <x:c r="F2" s="52"/>
      <x:c r="G2" s="52"/>
      <x:c r="H2" s="52"/>
    </x:row>
    <x:row r="3" ht="15" hidden="0" customHeight="1">
      <x:c r="A3" s="54"/>
      <x:c r="B3" s="54"/>
      <x:c r="C3" s="54"/>
      <x:c r="D3" s="54"/>
      <x:c r="E3" s="54"/>
      <x:c r="F3" s="54"/>
      <x:c r="G3" s="54"/>
      <x:c r="H3" s="54"/>
    </x:row>
    <x:row r="4">
      <x:c r="A4" s="52"/>
      <x:c r="B4" s="52"/>
      <x:c r="C4" s="52"/>
      <x:c r="D4" s="52"/>
      <x:c r="E4" s="52"/>
      <x:c r="F4" s="52"/>
      <x:c r="G4" s="52"/>
      <x:c r="H4" s="52"/>
    </x:row>
    <x:row r="5" ht="15" hidden="0" customHeight="1">
      <x:c r="A5" s="55" t="str">
        <x:v>Step</x:v>
      </x:c>
      <x:c r="B5" s="55" t="str">
        <x:v>Role</x:v>
      </x:c>
      <x:c r="C5" s="55" t="str">
        <x:v>Action</x:v>
      </x:c>
      <x:c r="D5" s="55" t="str">
        <x:v>Expected Result</x:v>
      </x:c>
      <x:c r="E5" s="55" t="str">
        <x:v>Expected Status</x:v>
      </x:c>
      <x:c r="F5" s="55" t="str">
        <x:v>Action Code</x:v>
      </x:c>
      <x:c r="G5" s="55" t="str">
        <x:v>Test Result</x:v>
      </x:c>
      <x:c r="H5" s="55" t="str">
        <x:v>Tester Note</x:v>
      </x:c>
    </x:row>
    <x:row r="6" ht="24" hidden="0" customHeight="1">
      <x:c r="A6" s="47" t="n">
        <x:v>1</x:v>
      </x:c>
      <x:c r="B6" s="47" t="str">
        <x:v>FO</x:v>
      </x:c>
      <x:c r="C6" s="46" t="str">
        <x:v>Đăng nhập, mở chức năng tạo Quotation và chọn New Business.</x:v>
      </x:c>
      <x:c r="D6" s="46" t="str">
        <x:v>Màn hình tạo mới hiển thị đúng quyền FO; trường bắt buộc và vùng attachment sẵn sàng nhập.</x:v>
      </x:c>
      <x:c r="E6" s="47" t="str">
        <x:v>Draft</x:v>
      </x:c>
      <x:c r="F6" s="47" t="str"/>
      <x:c r="G6" s="48" t="str">
        <x:v>Not Run</x:v>
      </x:c>
      <x:c r="H6" s="17" t="str"/>
    </x:row>
    <x:row r="7" ht="24" hidden="0" customHeight="1">
      <x:c r="A7" s="42" t="n">
        <x:v>2</x:v>
      </x:c>
      <x:c r="B7" s="42" t="str">
        <x:v>FO</x:v>
      </x:c>
      <x:c r="C7" s="16" t="str">
        <x:v>Nhập dữ liệu khách hàng, sản phẩm, thời hạn bảo hiểm; đính kèm request detail.pdf và lưu.</x:v>
      </x:c>
      <x:c r="D7" s="16" t="str">
        <x:v>Tạo đúng một quotation record, sinh mã tham chiếu, lưu dữ liệu và attachment; không tạo workflow trùng.</x:v>
      </x:c>
      <x:c r="E7" s="42" t="str">
        <x:v>FO Process</x:v>
      </x:c>
      <x:c r="F7" s="42" t="str"/>
      <x:c r="G7" s="48" t="str">
        <x:v>Not Run</x:v>
      </x:c>
      <x:c r="H7" s="17" t="str"/>
    </x:row>
    <x:row r="8" ht="15" hidden="0" customHeight="1">
      <x:c r="A8" s="47" t="n">
        <x:v>3</x:v>
      </x:c>
      <x:c r="B8" s="47" t="str">
        <x:v>FO</x:v>
      </x:c>
      <x:c r="C8" s="46" t="str">
        <x:v>Chọn xử lý qua TS và Submit To TS.</x:v>
      </x:c>
      <x:c r="D8" s="46" t="str">
        <x:v>Task chuyển TS; status TS Pending; người liên quan nhận notification.</x:v>
      </x:c>
      <x:c r="E8" s="47" t="str">
        <x:v>TS Pending</x:v>
      </x:c>
      <x:c r="F8" s="47" t="str">
        <x:v>SUBMIT_MAIN_TS</x:v>
      </x:c>
      <x:c r="G8" s="48" t="str">
        <x:v>Not Run</x:v>
      </x:c>
      <x:c r="H8" s="17" t="str"/>
    </x:row>
    <x:row r="9" ht="24" hidden="0" customHeight="1">
      <x:c r="A9" s="42" t="n">
        <x:v>4</x:v>
      </x:c>
      <x:c r="B9" s="42" t="str">
        <x:v>TS</x:v>
      </x:c>
      <x:c r="C9" s="16" t="str">
        <x:v>Mở task, kiểm tra dữ liệu, nhập phí, chọn số quotation là 1 và tạo Q1.</x:v>
      </x:c>
      <x:c r="D9" s="16" t="str">
        <x:v>TS xem đủ dữ liệu; hệ thống tạo đúng một quotation code Q1 và tài liệu tương ứng.</x:v>
      </x:c>
      <x:c r="E9" s="42" t="str">
        <x:v>TS Process</x:v>
      </x:c>
      <x:c r="F9" s="42" t="str"/>
      <x:c r="G9" s="48" t="str">
        <x:v>Not Run</x:v>
      </x:c>
      <x:c r="H9" s="17" t="str"/>
    </x:row>
    <x:row r="10" ht="15" hidden="0" customHeight="1">
      <x:c r="A10" s="47" t="n">
        <x:v>5</x:v>
      </x:c>
      <x:c r="B10" s="47" t="str">
        <x:v>TS</x:v>
      </x:c>
      <x:c r="C10" s="46" t="str">
        <x:v>Đính kèm quotation Q1.pdf và Submit To FO.</x:v>
      </x:c>
      <x:c r="D10" s="46" t="str">
        <x:v>Task về FO; status FO Process; dữ liệu và file TS nhập không bị mất.</x:v>
      </x:c>
      <x:c r="E10" s="47" t="str">
        <x:v>FO Process</x:v>
      </x:c>
      <x:c r="F10" s="47" t="str">
        <x:v>SUBMIT_TS_FO</x:v>
      </x:c>
      <x:c r="G10" s="48" t="str">
        <x:v>Not Run</x:v>
      </x:c>
      <x:c r="H10" s="17" t="str"/>
    </x:row>
    <x:row r="11" ht="24" hidden="0" customHeight="1">
      <x:c r="A11" s="42" t="n">
        <x:v>6</x:v>
      </x:c>
      <x:c r="B11" s="42" t="str">
        <x:v>FO</x:v>
      </x:c>
      <x:c r="C11" s="16" t="str">
        <x:v>Review, xác nhận Refer UW là No và gửi Asking Signature Approval đến LMKT.</x:v>
      </x:c>
      <x:c r="D11" s="16" t="str">
        <x:v>Task chuyển LMKT; status MKT Review; không tạo UW task.</x:v>
      </x:c>
      <x:c r="E11" s="42" t="str">
        <x:v>MKT Review</x:v>
      </x:c>
      <x:c r="F11" s="42" t="str">
        <x:v>SUBMIT_FO_LMKT</x:v>
      </x:c>
      <x:c r="G11" s="48" t="str">
        <x:v>Not Run</x:v>
      </x:c>
      <x:c r="H11" s="17" t="str"/>
    </x:row>
    <x:row r="12" ht="24" hidden="0" customHeight="1">
      <x:c r="A12" s="47" t="n">
        <x:v>7</x:v>
      </x:c>
      <x:c r="B12" s="47" t="str">
        <x:v>LMKT</x:v>
      </x:c>
      <x:c r="C12" s="46" t="str">
        <x:v>Kiểm tra quotation và chọn Approved Return to FO; hoàn tất ký theo cấu hình.</x:v>
      </x:c>
      <x:c r="D12" s="46" t="str">
        <x:v>Bản ký được lưu đúng version; task quay lại FO và có notification.</x:v>
      </x:c>
      <x:c r="E12" s="47" t="str">
        <x:v>FO Review</x:v>
      </x:c>
      <x:c r="F12" s="47" t="str">
        <x:v>LMKT_APPROVED_FO</x:v>
      </x:c>
      <x:c r="G12" s="48" t="str">
        <x:v>Not Run</x:v>
      </x:c>
      <x:c r="H12" s="17" t="str"/>
    </x:row>
    <x:row r="13" ht="24" hidden="0" customHeight="1">
      <x:c r="A13" s="42" t="n">
        <x:v>8</x:v>
      </x:c>
      <x:c r="B13" s="42" t="str">
        <x:v>FO</x:v>
      </x:c>
      <x:c r="C13" s="16" t="str">
        <x:v>Kiểm tra bản đã duyệt và Send Quotation to Client.</x:v>
      </x:c>
      <x:c r="D13" s="16" t="str">
        <x:v>Email đúng người nhận, subject và attachment; chuyển Waiting Client Confirmation.</x:v>
      </x:c>
      <x:c r="E13" s="42" t="str">
        <x:v>Waiting Client Confirmation</x:v>
      </x:c>
      <x:c r="F13" s="42" t="str">
        <x:v>SEND_QUOTATION_CLIENT</x:v>
      </x:c>
      <x:c r="G13" s="48" t="str">
        <x:v>Not Run</x:v>
      </x:c>
      <x:c r="H13" s="17" t="str"/>
    </x:row>
    <x:row r="14" ht="24" hidden="0" customHeight="1">
      <x:c r="A14" s="47" t="n">
        <x:v>9</x:v>
      </x:c>
      <x:c r="B14" s="47" t="str">
        <x:v>FO</x:v>
      </x:c>
      <x:c r="C14" s="46" t="str">
        <x:v>Ghi nhận khách hàng đồng ý, chọn Client Confirmed và tải client confirmation.pdf.</x:v>
      </x:c>
      <x:c r="D14" s="46" t="str">
        <x:v>Xác nhận và attachment được lưu; không còn task xử lý mở.</x:v>
      </x:c>
      <x:c r="E14" s="47" t="str">
        <x:v>Quotation Confirmed</x:v>
      </x:c>
      <x:c r="F14" s="47" t="str">
        <x:v>CLIENT_CONFIRMED</x:v>
      </x:c>
      <x:c r="G14" s="48" t="str">
        <x:v>Not Run</x:v>
      </x:c>
      <x:c r="H14" s="17" t="str"/>
    </x:row>
    <x:row r="15" ht="24" hidden="0" customHeight="1">
      <x:c r="A15" s="42" t="n">
        <x:v>10</x:v>
      </x:c>
      <x:c r="B15" s="42" t="str">
        <x:v>FO</x:v>
      </x:c>
      <x:c r="C15" s="16" t="str">
        <x:v>Mở lại quotation, audit log, dashboard và danh sách tìm kiếm.</x:v>
      </x:c>
      <x:c r="D15" s="16" t="str">
        <x:v>Hiển thị Completed; lịch sử đủ actor, action, thời gian; không chạy lại action kết thúc.</x:v>
      </x:c>
      <x:c r="E15" s="42" t="str">
        <x:v>Completed</x:v>
      </x:c>
      <x:c r="F15" s="42" t="str"/>
      <x:c r="G15" s="48" t="str">
        <x:v>Not Run</x:v>
      </x:c>
      <x:c r="H15" s="17" t="str"/>
    </x:row>
    <x:row r="16"/>
    <x:row r="17"/>
    <x:row r="18"/>
    <x:row r="19"/>
    <x:row r="20"/>
  </x:sheetData>
  <x:mergeCells>
    <x:mergeCell ref="A1:H1"/>
    <x:mergeCell ref="A2:H2"/>
  </x:mergeCells>
  <x:conditionalFormatting sqref="G6:G15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dataValidations count="1">
    <x:dataValidation type="list" sqref="G6:G15">
      <x:formula1>"Not Run,Pass,Fail,Blocked"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28" hidden="0" customWidth="1"/>
    <x:col min="3" max="3" width="95" hidden="0" customWidth="1"/>
    <x:col min="4" max="4" width="45" hidden="0" customWidth="1"/>
  </x:cols>
  <x:sheetData>
    <x:row r="1" ht="28" customHeight="1">
      <x:c r="A1" s="51" t="str">
        <x:v>DB Checks</x:v>
      </x:c>
      <x:c r="B1" s="52"/>
      <x:c r="C1" s="52"/>
      <x:c r="D1" s="52"/>
    </x:row>
    <x:row r="2" ht="28" customHeight="1">
      <x:c r="A2" s="53" t="str">
        <x:v>Các truy vấn chỉ chọn cột cần thiết</x:v>
      </x:c>
      <x:c r="B2" s="52"/>
      <x:c r="C2" s="52"/>
      <x:c r="D2" s="52"/>
    </x:row>
    <x:row r="3">
      <x:c r="A3" s="54"/>
      <x:c r="B3" s="54"/>
      <x:c r="C3" s="54"/>
      <x:c r="D3" s="54"/>
    </x:row>
    <x:row r="4">
      <x:c r="A4" s="52"/>
      <x:c r="B4" s="52"/>
      <x:c r="C4" s="52"/>
      <x:c r="D4" s="52"/>
    </x:row>
    <x:row r="5" ht="28" customHeight="1">
      <x:c r="A5" s="55" t="str">
        <x:v>No</x:v>
      </x:c>
      <x:c r="B5" s="55" t="str">
        <x:v>Purpose</x:v>
      </x:c>
      <x:c r="C5" s="55" t="str">
        <x:v>SQL</x:v>
      </x:c>
      <x:c r="D5" s="55" t="str">
        <x:v>Expected Result</x:v>
      </x:c>
    </x:row>
    <x:row r="6" ht="105" customHeight="1">
      <x:c r="A6" s="47" t="n">
        <x:v>1</x:v>
      </x:c>
      <x:c r="B6" s="46" t="str">
        <x:v>Kiểm tra instance cuối workflow</x:v>
      </x:c>
      <x:c r="C6" s="50" t="str">
        <x:v>SELECT TOP 1 Id, Guid, RecordGuid, WorkflowDefinitionId, CurrentStep, CurrentOwnerRoleCode, LastActionCode, StartedDate, CompletedDate, IsCompleted, IsCancelled
FROM InstanceWorkflow
WHERE RecordGuid = @QuotationGuid
ORDER BY Id DESC;</x:v>
      </x:c>
      <x:c r="D6" s="46" t="str">
        <x:v>LastActionCode = CLIENT_CONFIRMED; CompletedDate có giá trị; IsCompleted = 1; IsCancelled = 0.</x:v>
      </x:c>
    </x:row>
    <x:row r="7" ht="105" customHeight="1">
      <x:c r="A7" s="42" t="n">
        <x:v>2</x:v>
      </x:c>
      <x:c r="B7" s="16" t="str">
        <x:v>Kiểm tra action cấu hình</x:v>
      </x:c>
      <x:c r="C7" s="49" t="str">
        <x:v>SELECT Id, ActionCode, FromNodeId, ToNodeId, StatusId, StatusName, IsReturn, IsEnd, IsActive
FROM StepsWorkflow
WHERE WorkflowDefinitionId = @WorkflowDefinitionId
  AND ActionCode IN ('SUBMIT_MAIN_TS','SUBMIT_TS_FO','SUBMIT_FO_LMKT','LMKT_APPROVED_FO','SEND_QUOTATION_CLIENT','CLIENT_CONFIRMED')
ORDER BY SortOrder;</x:v>
      </x:c>
      <x:c r="D7" s="16" t="str">
        <x:v>Trả đúng 6 action của happy path; action active và FromNodeId/ToNodeId đúng thứ tự nghiệp vụ.</x:v>
      </x:c>
    </x:row>
    <x:row r="8" ht="105" customHeight="1">
      <x:c r="A8" s="47" t="n">
        <x:v>3</x:v>
      </x:c>
      <x:c r="B8" s="46" t="str">
        <x:v>Kiểm tra CurrentStep thuộc definition</x:v>
      </x:c>
      <x:c r="C8" s="50" t="str">
        <x:v>SELECT Id, Code, WorkflowDefinitionId, IsActive, LastActionCode
FROM WorkflowInstanceNode
WHERE WorkflowDefinitionId = @WorkflowDefinitionId
  AND Code = @CurrentStep;</x:v>
      </x:c>
      <x:c r="D8" s="46" t="str">
        <x:v>CurrentStep tồn tại trong cùng WorkflowDefinition và node đang active.</x:v>
      </x:c>
    </x:row>
  </x:sheetData>
  <x:mergeCells>
    <x:mergeCell ref="A1:D1"/>
    <x:mergeCell ref="A2:D2"/>
  </x:mergeCells>
  <x:pageMargins left="0.7" right="0.7" top="0.75" bottom="0.75" header="0.3" footer="0.3"/>
</x:worksheet>
</file>