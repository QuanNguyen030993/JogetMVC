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0f62282d9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" sheetId="4" r:id="Rc60b0ae12cb84c0d"/>
    <x:sheet xmlns:r="http://schemas.openxmlformats.org/officeDocument/2006/relationships" name="Notification" sheetId="1" r:id="R2848b9db305e40ee"/>
    <x:sheet xmlns:r="http://schemas.openxmlformats.org/officeDocument/2006/relationships" name="Status" sheetId="2" r:id="R99e1a746990c4c89"/>
    <x:sheet xmlns:r="http://schemas.openxmlformats.org/officeDocument/2006/relationships" name="Dashboard map status" sheetId="3" r:id="R79a4bb3994e04af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<x:sst xmlns:x="http://schemas.openxmlformats.org/spreadsheetml/2006/main">
  <x:si>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Sự kiện chính</x:t>
  </x:si>
  <x:si>
    <x:t xml:space="preserve">Mail đi đến phòng</x:t>
  </x:si>
  <x:si>
    <x:t xml:space="preserve">Flow </x:t>
  </x:si>
  <x:si>
    <x:t xml:space="preserve">Tiêu đề</x:t>
  </x:si>
  <x:si>
    <x:t xml:space="preserve">Nội dung</x:t>
  </x:si>
  <x:si>
    <x:t xml:space="preserve">Có request mới từ FO</x:t>
  </x:si>
  <x:si>
    <x:t xml:space="preserve">MKT-TS</x:t>
  </x:si>
  <x:si>
    <x:t xml:space="preserve">Báo giá</x:t>
  </x:si>
  <x:si>
    <x:t xml:space="preserve">FO refer UW</x:t>
  </x:si>
  <x:si>
    <x:t xml:space="preserve">UW</x:t>
  </x:si>
  <x:si>
    <x:t xml:space="preserve">UW xác nhận </x:t>
  </x:si>
  <x:si>
    <x:t xml:space="preserve">All PIC</x:t>
  </x:si>
  <x:si>
    <x:t xml:space="preserve">UW từ chối </x:t>
  </x:si>
  <x:si>
    <x:t xml:space="preserve">Báo giá ký hoàn tất </x:t>
  </x:si>
  <x:si>
    <x:t xml:space="preserve">Báo giá từ chối ký </x:t>
  </x:si>
  <x:si>
    <x:t xml:space="preserve">UW cho by pass đơn endorsement (No need to refer)</x:t>
  </x:si>
  <x:si>
    <x:t xml:space="preserve">MKT-FO</x:t>
  </x:si>
  <x:si>
    <x:t xml:space="preserve">Đã gửi báo giá tới khách hàng</x:t>
  </x:si>
  <x:si>
    <x:t xml:space="preserve">Khách hàng xác nhận</x:t>
  </x:si>
  <x:si>
    <x:t xml:space="preserve">Có request mới từ MKT</x:t>
  </x:si>
  <x:si>
    <x:t xml:space="preserve">PM</x:t>
  </x:si>
  <x:si>
    <x:t xml:space="preserve">Cấp đơn</x:t>
  </x:si>
  <x:si>
    <x:t xml:space="preserve">PM nhận request</x:t>
  </x:si>
  <x:si>
    <x:t xml:space="preserve">PM phản hồi (submit policy , submit policy follow up)</x:t>
  </x:si>
  <x:si>
    <x:t xml:space="preserve">MKT nhận đơn ký trả từ PM</x:t>
  </x:si>
  <x:si>
    <x:t xml:space="preserve">Gửi bản ký trả tới khách hàng </x:t>
  </x:si>
  <x:si>
    <x:t xml:space="preserve">Khách hàng ký trả</x:t>
  </x:si>
  <x:si>
    <x:t xml:space="preserve">Sự kiện</x:t>
  </x:si>
  <x:si>
    <x:t xml:space="preserve">Code</x:t>
  </x:si>
  <x:si>
    <x:t xml:space="preserve">Title</x:t>
  </x:si>
  <x:si>
    <x:t xml:space="preserve">Content</x:t>
  </x:si>
  <x:si>
    <x:t xml:space="preserve">Note</x:t>
  </x:si>
  <x:si>
    <x:t xml:space="preserve">Khởi tạo báo giá</x:t>
  </x:si>
  <x:si>
    <x:t xml:space="preserve">Quotation</x:t>
  </x:si>
  <x:si>
    <x:t xml:space="preserve">InitializeMessage</x:t>
  </x:si>
  <x:si>
    <x:t xml:space="preserve">Ví dụ Initial Quotation </x:t>
  </x:si>
  <x:si>
    <x:t xml:space="preserve">Gắn tác vụ cho người phụ trách</x:t>
  </x:si>
  <x:si>
    <x:t xml:space="preserve">Both</x:t>
  </x:si>
  <x:si>
    <x:t xml:space="preserve">AssignNotification</x:t>
  </x:si>
  <x:si>
    <x:t xml:space="preserve">Thông báo cập nhật của cấp đơn </x:t>
  </x:si>
  <x:si>
    <x:t xml:space="preserve">Policy Issuance</x:t>
  </x:si>
  <x:si>
    <x:t xml:space="preserve">PolicyIssuanceNotification</x:t>
  </x:si>
  <x:si>
    <x:t xml:space="preserve">Ví dụ Route to, Return </x:t>
  </x:si>
  <x:si>
    <x:t xml:space="preserve">Thông báo cập nhật của báo giá </x:t>
  </x:si>
  <x:si>
    <x:t xml:space="preserve">QuotationNotification</x:t>
  </x:si>
  <x:si>
    <x:t xml:space="preserve">Accept tác vụ/nhận đơn </x:t>
  </x:si>
  <x:si>
    <x:t xml:space="preserve">AcceptNotification</x:t>
  </x:si>
  <x:si>
    <x:t xml:space="preserve">Duyệt báo giá</x:t>
  </x:si>
  <x:si>
    <x:t xml:space="preserve">SuccessNotification</x:t>
  </x:si>
  <x:si>
    <x:t xml:space="preserve">Giai đoạn Kí báo giá </x:t>
  </x:si>
  <x:si>
    <x:t xml:space="preserve">Không duyệt báo giá </x:t>
  </x:si>
  <x:si>
    <x:t xml:space="preserve">FailNotification</x:t>
  </x:si>
  <x:si>
    <x:t xml:space="preserve">Nhắc nhở </x:t>
  </x:si>
  <x:si>
    <x:t xml:space="preserve">ReminderNotification</x:t>
  </x:si>
  <x:si>
    <x:t xml:space="preserve">Reminder , SLA</x:t>
  </x:si>
  <x:si>
    <x:t xml:space="preserve">Khách hàng đồng ý báo giá</x:t>
  </x:si>
  <x:si>
    <x:t xml:space="preserve">ClientSuccessNotification</x:t>
  </x:si>
  <x:si>
    <x:t xml:space="preserve">Khách hàng từ chối báo giá</x:t>
  </x:si>
  <x:si>
    <x:t xml:space="preserve">ClientDenyNotification</x:t>
  </x:si>
  <x:si>
    <x:t xml:space="preserve">Bình luận</x:t>
  </x:si>
  <x:si>
    <x:t xml:space="preserve">CommentNotification</x:t>
  </x:si>
  <x:si>
    <x:t xml:space="preserve">Khởi tạo cấp đơn</x:t>
  </x:si>
  <x:si>
    <x:t xml:space="preserve">InitializePMessage</x:t>
  </x:si>
  <x:si>
    <x:t xml:space="preserve">Ví dụ Initial Policy Issuance</x:t>
  </x:si>
  <x:si>
    <x:t xml:space="preserve">Status Name</x:t>
  </x:si>
  <x:si>
    <x:t xml:space="preserve">Flow</x:t>
  </x:si>
  <x:si>
    <x:t xml:space="preserve">General Status Dashboard</x:t>
  </x:si>
  <x:si>
    <x:t xml:space="preserve">Owner Status</x:t>
  </x:si>
  <x:si>
    <x:t xml:space="preserve">Asking signature</x:t>
  </x:si>
  <x:si>
    <x:t xml:space="preserve">In Progress</x:t>
  </x:si>
  <x:si>
    <x:t xml:space="preserve">FO Submit đến MKT MGR</x:t>
  </x:si>
  <x:si>
    <x:t xml:space="preserve">LMKT</x:t>
  </x:si>
  <x:si>
    <x:t xml:space="preserve"> </x:t>
  </x:si>
  <x:si>
    <x:t xml:space="preserve">Quotation confirmed</x:t>
  </x:si>
  <x:si>
    <x:t xml:space="preserve">Complete</x:t>
  </x:si>
  <x:si>
    <x:t xml:space="preserve">Báo giá được khách hàng đồng ý</x:t>
  </x:si>
  <x:si>
    <x:t xml:space="preserve">FO</x:t>
  </x:si>
  <x:si>
    <x:t xml:space="preserve">Signing on system</x:t>
  </x:si>
  <x:si>
    <x:t xml:space="preserve">Hệ thống đang ký</x:t>
  </x:si>
  <x:si>
    <x:t xml:space="preserve">No need to refer</x:t>
  </x:si>
  <x:si>
    <x:t xml:space="preserve">UW bypass cho cấp đơn </x:t>
  </x:si>
  <x:si>
    <x:t xml:space="preserve">Need more information</x:t>
  </x:si>
  <x:si>
    <x:t xml:space="preserve">UW nhận thấy chưa đủ thông tin</x:t>
  </x:si>
  <x:si>
    <x:t xml:space="preserve">Submit but follow up</x:t>
  </x:si>
  <x:si>
    <x:t xml:space="preserve">PM submit but follow đến MKT</x:t>
  </x:si>
  <x:si>
    <x:t xml:space="preserve">TS Process</x:t>
  </x:si>
  <x:si>
    <x:t xml:space="preserve">TS đang xử lý đơn sau khi Accept (Bắt đầu tính TAT)</x:t>
  </x:si>
  <x:si>
    <x:t xml:space="preserve">TS</x:t>
  </x:si>
  <x:si>
    <x:t xml:space="preserve">UW Process</x:t>
  </x:si>
  <x:si>
    <x:t xml:space="preserve">UW đang xử lý đơn sau khi Accept (Bắt đầu tính TAT)</x:t>
  </x:si>
  <x:si>
    <x:t xml:space="preserve">FO Process</x:t>
  </x:si>
  <x:si>
    <x:t xml:space="preserve">FO đang xử lý đơn (không tính TAT), bước đính kèm res form</x:t>
  </x:si>
  <x:si>
    <x:t xml:space="preserve">PM Pending</x:t>
  </x:si>
  <x:si>
    <x:t xml:space="preserve">Pending</x:t>
  </x:si>
  <x:si>
    <x:t xml:space="preserve">Pending đơn tại PM</x:t>
  </x:si>
  <x:si>
    <x:t xml:space="preserve">TS Pending</x:t>
  </x:si>
  <x:si>
    <x:t xml:space="preserve">Pending đơn tại TS</x:t>
  </x:si>
  <x:si>
    <x:t xml:space="preserve">Quotation refused</x:t>
  </x:si>
  <x:si>
    <x:t xml:space="preserve">Báo giá khách hàng từ chối</x:t>
  </x:si>
  <x:si>
    <x:t xml:space="preserve">Cancelled</x:t>
  </x:si>
  <x:si>
    <x:t xml:space="preserve">Hủy / withdraw đơn Quotation hay Policy Issuance tại TMIV</x:t>
  </x:si>
  <x:si>
    <x:t xml:space="preserve">All</x:t>
  </x:si>
  <x:si>
    <x:t xml:space="preserve">UW Declined</x:t>
  </x:si>
  <x:si>
    <x:t xml:space="preserve">UW từ chối rủi ro =&gt; từ chối báo giá</x:t>
  </x:si>
  <x:si>
    <x:t xml:space="preserve">Đơn sau khi bấm Declined sẽ trả về cho ý chí FO</x:t>
  </x:si>
  <x:si>
    <x:t xml:space="preserve">PM Process</x:t>
  </x:si>
  <x:si>
    <x:t xml:space="preserve">PM đang xử lý đơn sau khi Accept (Bắt đầu tính TAT)</x:t>
  </x:si>
  <x:si>
    <x:t xml:space="preserve">Quotation Signed</x:t>
  </x:si>
  <x:si>
    <x:t xml:space="preserve">Báo giá hệ thống đã ký xong</x:t>
  </x:si>
  <x:si>
    <x:t xml:space="preserve">Tồn tại trường hợp đã tạo cấp đơn trong khi báo giá mới có chữ ký TMIV</x:t>
  </x:si>
  <x:si>
    <x:t xml:space="preserve">UW Pending</x:t>
  </x:si>
  <x:si>
    <x:t xml:space="preserve">Pending đơn tại UW</x:t>
  </x:si>
  <x:si>
    <x:t xml:space="preserve">FO Pending</x:t>
  </x:si>
  <x:si>
    <x:t xml:space="preserve">Pending đơn tại FO</x:t>
  </x:si>
  <x:si>
    <x:t xml:space="preserve">Xảy ra khi tạo đơn skip TS, Broker tạo</x:t>
  </x:si>
  <x:si>
    <x:t xml:space="preserve">FO Review</x:t>
  </x:si>
  <x:si>
    <x:t xml:space="preserve">Bước ý chí FO, sau khi UW trả kết quả</x:t>
  </x:si>
  <x:si>
    <x:t xml:space="preserve">Issued</x:t>
  </x:si>
  <x:si>
    <x:t xml:space="preserve">Hoàn tất cấp đơn </x:t>
  </x:si>
  <x:si>
    <x:t xml:space="preserve">Workflow Status Cycle</x:t>
  </x:si>
  <x:si>
    <x:r>
      <x:t xml:space="preserve">Các Value tự động nằm trong vùng General Status tương ứng khi sửa bên sheet </x:t>
    </x:r>
    <x:r>
      <x:rPr>
        <x:b/>
        <x:i/>
        <x:sz val="11"/>
        <x:color rgb="FF244062"/>
        <x:rFont val="Carlito"/>
      </x:rPr>
      <x:t xml:space="preserve">Status</x:t>
    </x:r>
    <x:r>
      <x:rPr>
        <x:i/>
        <x:sz val="11"/>
        <x:color rgb="FF244062"/>
        <x:rFont val="Carlito"/>
      </x:rPr>
      <x:t xml:space="preserve">. Flow = Both xuất hiện trên cả hai line.</x:t>
    </x:r>
  </x:si>
  <x:si>
    <x:t xml:space="preserve">PENDING</x:t>
  </x:si>
  <x:si>
    <x:t xml:space="preserve">IN PROGRESS</x:t>
  </x:si>
  <x:si>
    <x:t xml:space="preserve">COMPLETE</x:t>
  </x:si>
  <x:si>
    <x:t xml:space="preserve">QUOTATION</x:t>
  </x:si>
  <x:si>
    <x:t xml:space="preserve">POLICY
ISSUANCE</x:t>
  </x:si>
  <x:si>
    <x:t xml:space="preserve">PENDING  ───────────────────────────→  IN PROGRESS  ───────────────────────────→  COMPLETE</x:t>
  </x:si>
  <x:si>
    <x:t xml:space="preserve">Legend</x:t>
  </x:si>
  <x:si>
    <x:t xml:space="preserve">General status = Pending</x:t>
  </x:si>
  <x:si>
    <x:t xml:space="preserve">General status = In Progress</x:t>
  </x:si>
  <x:si>
    <x:t xml:space="preserve">General status = Complete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</x:si>
</x:sst>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Calibri"/>
    </x:font>
    <x:font>
      <x:b/>
      <x:sz val="11"/>
      <x:color theme="0"/>
      <x:name val="Asap"/>
    </x:font>
    <x:font>
      <x:b/>
      <x:sz val="11"/>
      <x:color rgb="FFFFFFFF"/>
      <x:name val="Carlito"/>
    </x:font>
    <x:font>
      <x:b/>
      <x:sz val="11"/>
      <x:color rgb="FFFFFFFF"/>
      <x:name val="Asap"/>
    </x:font>
    <x:font>
      <x:sz val="11"/>
      <x:color rgb="FF000000"/>
      <x:name val="Asap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2"/>
      <x:name val="Carlito"/>
    </x:font>
    <x:font>
      <x:sz val="10"/>
      <x:name val="Carlito"/>
    </x:font>
    <x:font>
      <x:b/>
      <x:sz val="11"/>
      <x:name val="Carlito"/>
    </x:font>
    <x:font>
      <x:b/>
      <x:sz val="11"/>
      <x:color rgb="FF595959"/>
      <x:name val="Carlito"/>
    </x:font>
    <x:font>
      <x:b/>
      <x:i/>
      <x:sz val="11"/>
      <x:color rgb="FF244062"/>
      <x:name val="Carlito"/>
    </x:font>
    <x:font>
      <x:sz val="11"/>
      <x:color rgb="FF7F6000"/>
      <x:name val="Calibri"/>
    </x:font>
    <x:font>
      <x:sz val="11"/>
      <x:color rgb="FF375623"/>
      <x:name val="Asap"/>
    </x:font>
    <x:font>
      <x:sz val="11"/>
      <x:color rgb="FF843C0C"/>
      <x:name val="Asap"/>
    </x:font>
    <x:font>
      <x:sz val="11"/>
      <x:color rgb="FF375623"/>
      <x:name val="Calibri"/>
    </x:font>
    <x:font>
      <x:sz val="11"/>
      <x:color rgb="FF843C0C"/>
      <x:name val="Calibri"/>
    </x:font>
    <x:font>
      <x:sz val="11"/>
      <x:color rgb="FF403151"/>
      <x:name val="Calibri"/>
    </x:font>
  </x:fonts>
  <x:fills count="2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rgb="FFC0E6F5"/>
      </x:patternFill>
    </x:fill>
    <x:fill>
      <x:patternFill patternType="solid">
        <x:fgColor rgb="FF00B05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FFF8E1"/>
      </x:patternFill>
    </x:fill>
    <x:fill>
      <x:patternFill patternType="solid">
        <x:fgColor rgb="FFEAF4FB"/>
      </x:patternFill>
    </x:fill>
    <x:fill>
      <x:patternFill patternType="solid">
        <x:fgColor rgb="FFEDF7E8"/>
      </x:patternFill>
    </x:fill>
    <x:fill>
      <x:patternFill patternType="solid">
        <x:fgColor rgb="FFFCE4D6"/>
      </x:patternFill>
    </x:fill>
    <x:fill>
      <x:patternFill patternType="solid">
        <x:fgColor rgb="FF00B050"/>
      </x:patternFill>
    </x:fill>
    <x:fill>
      <x:patternFill patternType="solid">
        <x:fgColor rgb="FF00B050"/>
      </x:patternFill>
    </x:fill>
    <x:fill>
      <x:patternFill patternType="solid">
        <x:fgColor theme="4"/>
      </x:patternFill>
    </x:fill>
    <x:fill>
      <x:patternFill patternType="solid">
        <x:fgColor theme="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15">
    <x:border/>
    <x:border>
      <x:left style="thin">
        <x:color theme="4" tint="0.39998"/>
      </x:left>
      <x:top style="thin">
        <x:color theme="4" tint="0.39998"/>
      </x:top>
    </x:border>
    <x:border>
      <x:top style="thin">
        <x:color theme="4" tint="0.39998"/>
      </x:top>
    </x:border>
    <x:border>
      <x:right style="thin">
        <x:color theme="4" tint="0.39998"/>
      </x:right>
      <x:top style="thin">
        <x:color theme="4" tint="0.39998"/>
      </x:top>
    </x:border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left style="thin">
        <x:color rgb="FF44B3E1"/>
      </x:left>
      <x:top style="thin">
        <x:color rgb="FF44B3E1"/>
      </x:top>
    </x:border>
    <x:border>
      <x:top style="thin">
        <x:color rgb="FF44B3E1"/>
      </x:top>
    </x:border>
    <x:border>
      <x:right style="thin">
        <x:color rgb="FF44B3E1"/>
      </x:right>
      <x:top style="thin">
        <x:color rgb="FF44B3E1"/>
      </x:top>
    </x:border>
    <x:border>
      <x:left style="thin">
        <x:color rgb="FF44B3E1"/>
      </x:left>
      <x:top style="thin">
        <x:color rgb="FF44B3E1"/>
      </x:top>
      <x:bottom style="thin">
        <x:color rgb="FF44B3E1"/>
      </x:bottom>
    </x:border>
    <x:border>
      <x:top style="thin">
        <x:color rgb="FF44B3E1"/>
      </x:top>
      <x:bottom style="thin">
        <x:color rgb="FF44B3E1"/>
      </x:bottom>
    </x:border>
    <x:border>
      <x:right style="thin">
        <x:color rgb="FF44B3E1"/>
      </x:right>
      <x:top style="thin">
        <x:color rgb="FF44B3E1"/>
      </x:top>
      <x:bottom style="thin">
        <x:color rgb="FF44B3E1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A69BB8"/>
      </x:left>
      <x:right style="thin">
        <x:color rgb="FFA69BB8"/>
      </x:right>
      <x:top style="thin">
        <x:color rgb="FFA69BB8"/>
      </x:top>
      <x:bottom style="thin">
        <x:color rgb="FFA69BB8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1" fillId="2" borderId="2" xfId="0" applyFont="1" applyFill="1" applyBorder="1"/>
    <x:xf numFmtId="0" fontId="0" fillId="3" borderId="1" xfId="0" applyFill="1" applyBorder="1"/>
    <x:xf numFmtId="0" fontId="0" fillId="3" borderId="2" xfId="0" applyFill="1" applyBorder="1"/>
    <x:xf numFmtId="0" fontId="0" fillId="3" borderId="2" xfId="0" applyFill="1" applyBorder="1"/>
    <x:xf numFmtId="0" fontId="0" fillId="3" borderId="3" xfId="0" applyFill="1" applyBorder="1"/>
    <x:xf numFmtId="0" fontId="0" fillId="0" borderId="1" xfId="0" applyBorder="1"/>
    <x:xf numFmtId="0" fontId="0" fillId="0" borderId="2" xfId="0" applyBorder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5" xfId="0" applyBorder="1"/>
    <x:xf numFmtId="0" fontId="0" fillId="0" borderId="6" xfId="0" applyBorder="1"/>
    <x:xf numFmtId="0" fontId="4" fillId="4" borderId="7" xfId="0" applyFont="1" applyFill="1" applyBorder="1"/>
    <x:xf numFmtId="0" fontId="4" fillId="4" borderId="8" xfId="0" applyFont="1" applyFill="1" applyBorder="1"/>
    <x:xf numFmtId="0" fontId="4" fillId="4" borderId="9" xfId="0" applyFont="1" applyFill="1" applyBorder="1"/>
    <x:xf numFmtId="0" fontId="4" fillId="0" borderId="7" xfId="0" applyFont="1" applyBorder="1"/>
    <x:xf numFmtId="0" fontId="4" fillId="0" borderId="8" xfId="0" applyFont="1" applyBorder="1"/>
    <x:xf numFmtId="0" fontId="4" fillId="0" borderId="9" xfId="0" applyFont="1" applyBorder="1"/>
    <x:xf numFmtId="0" fontId="4" fillId="0" borderId="10" xfId="0" applyFont="1" applyBorder="1"/>
    <x:xf numFmtId="0" fontId="4" fillId="0" borderId="11" xfId="0" applyFont="1" applyBorder="1"/>
    <x:xf numFmtId="0" fontId="4" fillId="0" borderId="12" xfId="0" applyFont="1" applyBorder="1"/>
    <x:xf numFmtId="0" fontId="9" fillId="0" borderId="0" xfId="0" applyFont="1"/>
    <x:xf numFmtId="0" fontId="4" fillId="4" borderId="10" xfId="0" applyFont="1" applyFill="1" applyBorder="1"/>
    <x:xf numFmtId="0" fontId="4" fillId="4" borderId="11" xfId="0" applyFont="1" applyFill="1" applyBorder="1"/>
    <x:xf numFmtId="0" fontId="4" fillId="4" borderId="12" xfId="0" applyFont="1" applyFill="1" applyBorder="1"/>
    <x:xf numFmtId="0" fontId="2" fillId="5" borderId="7" xfId="0" applyFont="1" applyFill="1" applyBorder="1"/>
    <x:xf numFmtId="0" fontId="9" fillId="0" borderId="0" xfId="0" applyFont="1" applyAlignment="1">
      <x:alignment horizontal="right"/>
    </x:xf>
    <x:xf numFmtId="0" fontId="0" fillId="8" borderId="0" xfId="0" applyFill="1"/>
    <x:xf numFmtId="0" fontId="0" fillId="9" borderId="0" xfId="0" applyFill="1"/>
    <x:xf numFmtId="0" fontId="0" fillId="10" borderId="0" xfId="0" applyFill="1"/>
    <x:xf numFmtId="0" fontId="3" fillId="16" borderId="11" xfId="0" applyFont="1" applyFill="1" applyBorder="1"/>
    <x:xf numFmtId="0" fontId="3" fillId="16" borderId="12" xfId="0" applyFont="1" applyFill="1" applyBorder="1"/>
    <x:xf numFmtId="0" fontId="1" fillId="17" borderId="2" xfId="0" applyFont="1" applyFill="1" applyBorder="1" applyAlignment="1">
      <x:alignment horizontal="center"/>
    </x:xf>
    <x:xf numFmtId="0" fontId="1" fillId="17" borderId="3" xfId="0" applyFont="1" applyFill="1" applyBorder="1" applyAlignment="1">
      <x:alignment horizontal="center"/>
    </x:xf>
    <x:xf numFmtId="0" fontId="2" fillId="18" borderId="8" xfId="0" applyFont="1" applyFill="1" applyBorder="1"/>
    <x:xf numFmtId="0" fontId="3" fillId="19" borderId="8" xfId="0" applyFont="1" applyFill="1" applyBorder="1"/>
    <x:xf numFmtId="0" fontId="3" fillId="19" borderId="9" xfId="0" applyFont="1" applyFill="1" applyBorder="1"/>
    <x:xf numFmtId="0" fontId="3" fillId="19" borderId="10" xfId="0" applyFont="1" applyFill="1" applyBorder="1"/>
    <x:xf numFmtId="0" fontId="3" fillId="19" borderId="11" xfId="0" applyFont="1" applyFill="1" applyBorder="1"/>
    <x:xf numFmtId="0" fontId="7" fillId="15" borderId="0" xfId="0" applyFont="1" applyFill="1" applyAlignment="1">
      <x:alignment horizontal="center" vertical="center" wrapText="1"/>
    </x:xf>
    <x:xf numFmtId="0" fontId="8" fillId="12" borderId="0" xfId="0" applyFont="1" applyFill="1" applyAlignment="1">
      <x:alignment horizontal="left" vertical="top" wrapText="1"/>
    </x:xf>
    <x:xf numFmtId="0" fontId="8" fillId="13" borderId="0" xfId="0" applyFont="1" applyFill="1" applyAlignment="1">
      <x:alignment horizontal="left" vertical="top" wrapText="1"/>
    </x:xf>
    <x:xf numFmtId="0" fontId="8" fillId="14" borderId="0" xfId="0" applyFont="1" applyFill="1" applyAlignment="1">
      <x:alignment horizontal="left" vertical="top" wrapText="1"/>
    </x:xf>
    <x:xf numFmtId="0" fontId="5" fillId="6" borderId="0" xfId="0" applyFont="1" applyFill="1" applyAlignment="1">
      <x:alignment horizontal="center" vertical="center"/>
    </x:xf>
    <x:xf numFmtId="0" fontId="6" fillId="7" borderId="0" xfId="0" applyFont="1" applyFill="1" applyAlignment="1">
      <x:alignment horizontal="center" vertical="center"/>
    </x:xf>
    <x:xf numFmtId="0" fontId="7" fillId="8" borderId="0" xfId="0" applyFont="1" applyFill="1" applyAlignment="1">
      <x:alignment horizontal="center" vertical="center"/>
    </x:xf>
    <x:xf numFmtId="0" fontId="7" fillId="9" borderId="0" xfId="0" applyFont="1" applyFill="1" applyAlignment="1">
      <x:alignment horizontal="center" vertical="center"/>
    </x:xf>
    <x:xf numFmtId="0" fontId="7" fillId="10" borderId="0" xfId="0" applyFont="1" applyFill="1" applyAlignment="1">
      <x:alignment horizontal="center" vertical="center"/>
    </x:xf>
    <x:xf numFmtId="0" fontId="7" fillId="11" borderId="0" xfId="0" applyFont="1" applyFill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vertical="center" wrapText="1"/>
    </x:xf>
    <x:xf numFmtId="0" fontId="12" fillId="20" borderId="13" xfId="0" applyNumberFormat="1" applyFont="1" applyFill="1" applyBorder="1" applyAlignment="1">
      <x:alignment vertical="center" wrapText="1"/>
    </x:xf>
    <x:xf numFmtId="0" fontId="12" fillId="20" borderId="13" xfId="0" applyNumberFormat="1" applyFont="1" applyFill="1" applyBorder="1" applyAlignment="1">
      <x:alignment vertical="center" wrapText="0"/>
    </x:xf>
    <x:xf numFmtId="0" fontId="4" fillId="21" borderId="11" xfId="0" applyNumberFormat="1" applyFont="1" applyFill="1" applyBorder="1"/>
    <x:xf numFmtId="0" fontId="4" fillId="21" borderId="12" xfId="0" applyNumberFormat="1" applyFont="1" applyFill="1" applyBorder="1"/>
    <x:xf numFmtId="0" fontId="13" fillId="21" borderId="11" xfId="0" applyNumberFormat="1" applyFont="1" applyFill="1" applyBorder="1"/>
    <x:xf numFmtId="0" fontId="13" fillId="21" borderId="12" xfId="0" applyNumberFormat="1" applyFont="1" applyFill="1" applyBorder="1"/>
    <x:xf numFmtId="0" fontId="13" fillId="21" borderId="11" xfId="0" applyNumberFormat="1" applyFont="1" applyFill="1" applyBorder="1" applyAlignment="1">
      <x:alignment wrapText="1"/>
    </x:xf>
    <x:xf numFmtId="0" fontId="13" fillId="21" borderId="12" xfId="0" applyNumberFormat="1" applyFont="1" applyFill="1" applyBorder="1" applyAlignment="1">
      <x:alignment wrapText="1"/>
    </x:xf>
    <x:xf numFmtId="0" fontId="13" fillId="21" borderId="11" xfId="0" applyNumberFormat="1" applyFont="1" applyFill="1" applyBorder="1" applyAlignment="1">
      <x:alignment vertical="top" wrapText="1"/>
    </x:xf>
    <x:xf numFmtId="0" fontId="13" fillId="21" borderId="12" xfId="0" applyNumberFormat="1" applyFont="1" applyFill="1" applyBorder="1" applyAlignment="1">
      <x:alignment vertical="top" wrapText="1"/>
    </x:xf>
    <x:xf numFmtId="0" fontId="4" fillId="22" borderId="11" xfId="0" applyNumberFormat="1" applyFont="1" applyFill="1" applyBorder="1"/>
    <x:xf numFmtId="0" fontId="4" fillId="22" borderId="12" xfId="0" applyNumberFormat="1" applyFont="1" applyFill="1" applyBorder="1"/>
    <x:xf numFmtId="0" fontId="14" fillId="22" borderId="11" xfId="0" applyNumberFormat="1" applyFont="1" applyFill="1" applyBorder="1"/>
    <x:xf numFmtId="0" fontId="14" fillId="22" borderId="12" xfId="0" applyNumberFormat="1" applyFont="1" applyFill="1" applyBorder="1"/>
    <x:xf numFmtId="0" fontId="14" fillId="22" borderId="11" xfId="0" applyNumberFormat="1" applyFont="1" applyFill="1" applyBorder="1" applyAlignment="1">
      <x:alignment wrapText="1"/>
    </x:xf>
    <x:xf numFmtId="0" fontId="14" fillId="22" borderId="12" xfId="0" applyNumberFormat="1" applyFont="1" applyFill="1" applyBorder="1" applyAlignment="1">
      <x:alignment wrapText="1"/>
    </x:xf>
    <x:xf numFmtId="0" fontId="14" fillId="22" borderId="11" xfId="0" applyNumberFormat="1" applyFont="1" applyFill="1" applyBorder="1" applyAlignment="1">
      <x:alignment vertical="top" wrapText="1"/>
    </x:xf>
    <x:xf numFmtId="0" fontId="14" fillId="22" borderId="12" xfId="0" applyNumberFormat="1" applyFont="1" applyFill="1" applyBorder="1" applyAlignment="1">
      <x:alignment vertical="top" wrapText="1"/>
    </x:xf>
    <x:xf numFmtId="0" fontId="12" fillId="21" borderId="13" xfId="0" applyNumberFormat="1" applyFont="1" applyFill="1" applyBorder="1" applyAlignment="1">
      <x:alignment vertical="center" wrapText="1"/>
    </x:xf>
    <x:xf numFmtId="0" fontId="15" fillId="21" borderId="13" xfId="0" applyNumberFormat="1" applyFont="1" applyFill="1" applyBorder="1" applyAlignment="1">
      <x:alignment vertical="center" wrapText="1"/>
    </x:xf>
    <x:xf numFmtId="0" fontId="15" fillId="21" borderId="13" xfId="0" applyNumberFormat="1" applyFont="1" applyFill="1" applyBorder="1" applyAlignment="1">
      <x:alignment vertical="top" wrapText="1"/>
    </x:xf>
    <x:xf numFmtId="0" fontId="12" fillId="22" borderId="13" xfId="0" applyNumberFormat="1" applyFont="1" applyFill="1" applyBorder="1" applyAlignment="1">
      <x:alignment vertical="center" wrapText="1"/>
    </x:xf>
    <x:xf numFmtId="0" fontId="16" fillId="22" borderId="13" xfId="0" applyNumberFormat="1" applyFont="1" applyFill="1" applyBorder="1" applyAlignment="1">
      <x:alignment vertical="center" wrapText="1"/>
    </x:xf>
    <x:xf numFmtId="0" fontId="16" fillId="22" borderId="13" xfId="0" applyNumberFormat="1" applyFont="1" applyFill="1" applyBorder="1" applyAlignment="1">
      <x:alignment vertical="top" wrapText="1"/>
    </x:xf>
    <x:xf numFmtId="0" fontId="0" fillId="21" borderId="2" xfId="0" applyNumberFormat="1" applyFont="1" applyFill="1" applyBorder="1"/>
    <x:xf numFmtId="0" fontId="0" fillId="21" borderId="3" xfId="0" applyNumberFormat="1" applyFont="1" applyFill="1" applyBorder="1"/>
    <x:xf numFmtId="0" fontId="15" fillId="21" borderId="2" xfId="0" applyNumberFormat="1" applyFont="1" applyFill="1" applyBorder="1"/>
    <x:xf numFmtId="0" fontId="15" fillId="21" borderId="3" xfId="0" applyNumberFormat="1" applyFont="1" applyFill="1" applyBorder="1"/>
    <x:xf numFmtId="0" fontId="15" fillId="21" borderId="2" xfId="0" applyNumberFormat="1" applyFont="1" applyFill="1" applyBorder="1" applyAlignment="1">
      <x:alignment wrapText="1"/>
    </x:xf>
    <x:xf numFmtId="0" fontId="15" fillId="21" borderId="3" xfId="0" applyNumberFormat="1" applyFont="1" applyFill="1" applyBorder="1" applyAlignment="1">
      <x:alignment wrapText="1"/>
    </x:xf>
    <x:xf numFmtId="0" fontId="15" fillId="21" borderId="2" xfId="0" applyNumberFormat="1" applyFont="1" applyFill="1" applyBorder="1" applyAlignment="1">
      <x:alignment vertical="top" wrapText="1"/>
    </x:xf>
    <x:xf numFmtId="0" fontId="15" fillId="21" borderId="3" xfId="0" applyNumberFormat="1" applyFont="1" applyFill="1" applyBorder="1" applyAlignment="1">
      <x:alignment vertical="top" wrapText="1"/>
    </x:xf>
    <x:xf numFmtId="0" fontId="0" fillId="22" borderId="2" xfId="0" applyNumberFormat="1" applyFont="1" applyFill="1" applyBorder="1"/>
    <x:xf numFmtId="0" fontId="0" fillId="22" borderId="3" xfId="0" applyNumberFormat="1" applyFont="1" applyFill="1" applyBorder="1"/>
    <x:xf numFmtId="0" fontId="16" fillId="22" borderId="2" xfId="0" applyNumberFormat="1" applyFont="1" applyFill="1" applyBorder="1"/>
    <x:xf numFmtId="0" fontId="16" fillId="22" borderId="3" xfId="0" applyNumberFormat="1" applyFont="1" applyFill="1" applyBorder="1"/>
    <x:xf numFmtId="0" fontId="16" fillId="22" borderId="2" xfId="0" applyNumberFormat="1" applyFont="1" applyFill="1" applyBorder="1" applyAlignment="1">
      <x:alignment wrapText="1"/>
    </x:xf>
    <x:xf numFmtId="0" fontId="16" fillId="22" borderId="3" xfId="0" applyNumberFormat="1" applyFont="1" applyFill="1" applyBorder="1" applyAlignment="1">
      <x:alignment wrapText="1"/>
    </x:xf>
    <x:xf numFmtId="0" fontId="16" fillId="22" borderId="2" xfId="0" applyNumberFormat="1" applyFont="1" applyFill="1" applyBorder="1" applyAlignment="1">
      <x:alignment vertical="top" wrapText="1"/>
    </x:xf>
    <x:xf numFmtId="0" fontId="16" fillId="22" borderId="3" xfId="0" applyNumberFormat="1" applyFont="1" applyFill="1" applyBorder="1" applyAlignment="1">
      <x:alignment vertical="top" wrapText="1"/>
    </x:xf>
    <x:xf numFmtId="0" fontId="0" fillId="21" borderId="5" xfId="0" applyNumberFormat="1" applyFont="1" applyFill="1" applyBorder="1"/>
    <x:xf numFmtId="0" fontId="0" fillId="21" borderId="6" xfId="0" applyNumberFormat="1" applyFont="1" applyFill="1" applyBorder="1"/>
    <x:xf numFmtId="0" fontId="15" fillId="21" borderId="5" xfId="0" applyNumberFormat="1" applyFont="1" applyFill="1" applyBorder="1"/>
    <x:xf numFmtId="0" fontId="15" fillId="21" borderId="6" xfId="0" applyNumberFormat="1" applyFont="1" applyFill="1" applyBorder="1"/>
    <x:xf numFmtId="0" fontId="15" fillId="21" borderId="5" xfId="0" applyNumberFormat="1" applyFont="1" applyFill="1" applyBorder="1" applyAlignment="1">
      <x:alignment wrapText="1"/>
    </x:xf>
    <x:xf numFmtId="0" fontId="15" fillId="21" borderId="6" xfId="0" applyNumberFormat="1" applyFont="1" applyFill="1" applyBorder="1" applyAlignment="1">
      <x:alignment wrapText="1"/>
    </x:xf>
    <x:xf numFmtId="0" fontId="15" fillId="21" borderId="5" xfId="0" applyNumberFormat="1" applyFont="1" applyFill="1" applyBorder="1" applyAlignment="1">
      <x:alignment vertical="top" wrapText="1"/>
    </x:xf>
    <x:xf numFmtId="0" fontId="15" fillId="21" borderId="6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17" fillId="23" borderId="0" xfId="0" applyNumberFormat="1" applyFont="1" applyFill="1" applyBorder="1"/>
    <x:xf numFmtId="0" fontId="17" fillId="23" borderId="0" xfId="0" applyNumberFormat="1" applyFont="1" applyFill="1" applyBorder="1" applyAlignment="1">
      <x:alignment wrapText="1"/>
    </x:xf>
    <x:xf numFmtId="0" fontId="17" fillId="23" borderId="0" xfId="0" applyNumberFormat="1" applyFont="1" applyFill="1" applyBorder="1" applyAlignment="1">
      <x:alignment vertical="top" wrapText="1"/>
    </x:xf>
    <x:xf numFmtId="0" fontId="17" fillId="23" borderId="14" xfId="0" applyNumberFormat="1" applyFont="1" applyFill="1" applyBorder="1" applyAlignment="1">
      <x:alignment vertical="top" wrapText="1"/>
    </x:xf>
    <x:xf numFmtId="0" fontId="17" fillId="23" borderId="14" xfId="0" applyNumberFormat="1" applyFont="1" applyFill="1" applyBorder="1" applyAlignment="1">
      <x:alignment vertical="top" wrapText="0"/>
    </x:xf>
  </x:cellXfs>
  <x:cellStyles count="1">
    <x:cellStyle name="Bình thường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5f4c7576d4bc7" /><Relationship Type="http://schemas.openxmlformats.org/officeDocument/2006/relationships/theme" Target="/xl/theme/theme1.xml" Id="R7f20d7602c15441b" /><Relationship Type="http://schemas.openxmlformats.org/officeDocument/2006/relationships/sheetMetadata" Target="/xl/metadata1.xml" Id="R1b41aa16a01a4b56" /><Relationship Type="http://schemas.openxmlformats.org/officeDocument/2006/relationships/sharedStrings" Target="/xl/sharedStrings.xml" Id="R1f9cce20ec3f4083" /><Relationship Type="http://schemas.openxmlformats.org/officeDocument/2006/relationships/worksheet" Target="/xl/worksheets/sheet1.xml" Id="Rc60b0ae12cb84c0d" /><Relationship Type="http://schemas.openxmlformats.org/officeDocument/2006/relationships/worksheet" Target="/xl/worksheets/sheet2.xml" Id="R2848b9db305e40ee" /><Relationship Type="http://schemas.openxmlformats.org/officeDocument/2006/relationships/worksheet" Target="/xl/worksheets/sheet3.xml" Id="R99e1a746990c4c89" /><Relationship Type="http://schemas.openxmlformats.org/officeDocument/2006/relationships/worksheet" Target="/xl/worksheets/sheet4.xml" Id="R79a4bb3994e04af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cc51bf42a94b4dad" /></Relationships>
</file>

<file path=xl/drawings/drawing1.xml><?xml version="1.0" encoding="utf-8"?>
<xdr:wsDr xmlns:xdr="http://schemas.openxmlformats.org/drawingml/2006/spreadsheetDrawing">
  <xdr:twoCellAnchor editAs="oneCell">
    <xdr:from>
      <xdr:col>6</xdr:col>
      <xdr:colOff>47625</xdr:colOff>
      <xdr:row>0</xdr:row>
      <xdr:rowOff>133350</xdr:rowOff>
    </xdr:from>
    <xdr:to>
      <xdr:col>13</xdr:col>
      <xdr:colOff>209550</xdr:colOff>
      <xdr:row>12</xdr:row>
      <xdr:rowOff>66675</xdr:rowOff>
    </xdr:to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144000" y="133350"/>
          <a:ext cx="4429125" cy="5048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txBody>
        <a:bodyPr xmlns:a="http://schemas.openxmlformats.org/drawingml/2006/main" rot="0" spcFirstLastPara="0" vert="horz" wrap="square" lIns="91440" tIns="45720" rIns="91440" bIns="4572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lt"/>
              <a:cs typeface="+mn-lt"/>
            </a:defRPr>
          </a:lvl1pPr>
          <a:lvl2pPr marL="457200" indent="0">
            <a:defRPr sz="1100">
              <a:latin typeface="+mn-lt"/>
              <a:ea typeface="+mn-lt"/>
              <a:cs typeface="+mn-lt"/>
            </a:defRPr>
          </a:lvl2pPr>
          <a:lvl3pPr marL="914400" indent="0">
            <a:defRPr sz="1100">
              <a:latin typeface="+mn-lt"/>
              <a:ea typeface="+mn-lt"/>
              <a:cs typeface="+mn-lt"/>
            </a:defRPr>
          </a:lvl3pPr>
          <a:lvl4pPr marL="1371600" indent="0">
            <a:defRPr sz="1100">
              <a:latin typeface="+mn-lt"/>
              <a:ea typeface="+mn-lt"/>
              <a:cs typeface="+mn-lt"/>
            </a:defRPr>
          </a:lvl4pPr>
          <a:lvl5pPr marL="1828800" indent="0">
            <a:defRPr sz="1100">
              <a:latin typeface="+mn-lt"/>
              <a:ea typeface="+mn-lt"/>
              <a:cs typeface="+mn-lt"/>
            </a:defRPr>
          </a:lvl5pPr>
          <a:lvl6pPr marL="2286000" indent="0">
            <a:defRPr sz="1100">
              <a:latin typeface="+mn-lt"/>
              <a:ea typeface="+mn-lt"/>
              <a:cs typeface="+mn-lt"/>
            </a:defRPr>
          </a:lvl6pPr>
          <a:lvl7pPr marL="2743200" indent="0">
            <a:defRPr sz="1100">
              <a:latin typeface="+mn-lt"/>
              <a:ea typeface="+mn-lt"/>
              <a:cs typeface="+mn-lt"/>
            </a:defRPr>
          </a:lvl7pPr>
          <a:lvl8pPr marL="3200400" indent="0">
            <a:defRPr sz="1100">
              <a:latin typeface="+mn-lt"/>
              <a:ea typeface="+mn-lt"/>
              <a:cs typeface="+mn-lt"/>
            </a:defRPr>
          </a:lvl8pPr>
          <a:lvl9pPr marL="3657600" indent="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Nội dung mail có thể đặt trường kiểu @@ vào nội dung: </a:t>
          </a:r>
          <a:endParaRPr/>
        </a:p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Ví dụ: Assign task from @@TenNguoiAssign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8</xdr:col>
      <xdr:colOff>561975</xdr:colOff>
      <xdr:row>7</xdr:row>
      <xdr:rowOff>95250</xdr:rowOff>
    </xdr:from>
    <xdr:to>
      <xdr:col>16</xdr:col>
      <xdr:colOff>111125</xdr:colOff>
      <xdr:row>19</xdr:row>
      <xdr:rowOff>47625</xdr:rowOff>
    </xdr:to>
    <xdr:sp>
      <xdr:nvSpPr>
        <xdr:cNvPr id="1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2087225" y="1428750"/>
          <a:ext cx="4425950" cy="22383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txBody>
        <a:bodyPr xmlns:a="http://schemas.openxmlformats.org/drawingml/2006/main" rot="0" spcFirstLastPara="0" vert="horz" wrap="square" lIns="91440" tIns="45720" rIns="91440" bIns="4572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lt"/>
              <a:cs typeface="+mn-lt"/>
            </a:defRPr>
          </a:lvl1pPr>
          <a:lvl2pPr marL="457200" indent="0">
            <a:defRPr sz="1100">
              <a:latin typeface="+mn-lt"/>
              <a:ea typeface="+mn-lt"/>
              <a:cs typeface="+mn-lt"/>
            </a:defRPr>
          </a:lvl2pPr>
          <a:lvl3pPr marL="914400" indent="0">
            <a:defRPr sz="1100">
              <a:latin typeface="+mn-lt"/>
              <a:ea typeface="+mn-lt"/>
              <a:cs typeface="+mn-lt"/>
            </a:defRPr>
          </a:lvl3pPr>
          <a:lvl4pPr marL="1371600" indent="0">
            <a:defRPr sz="1100">
              <a:latin typeface="+mn-lt"/>
              <a:ea typeface="+mn-lt"/>
              <a:cs typeface="+mn-lt"/>
            </a:defRPr>
          </a:lvl4pPr>
          <a:lvl5pPr marL="1828800" indent="0">
            <a:defRPr sz="1100">
              <a:latin typeface="+mn-lt"/>
              <a:ea typeface="+mn-lt"/>
              <a:cs typeface="+mn-lt"/>
            </a:defRPr>
          </a:lvl5pPr>
          <a:lvl6pPr marL="2286000" indent="0">
            <a:defRPr sz="1100">
              <a:latin typeface="+mn-lt"/>
              <a:ea typeface="+mn-lt"/>
              <a:cs typeface="+mn-lt"/>
            </a:defRPr>
          </a:lvl6pPr>
          <a:lvl7pPr marL="2743200" indent="0">
            <a:defRPr sz="1100">
              <a:latin typeface="+mn-lt"/>
              <a:ea typeface="+mn-lt"/>
              <a:cs typeface="+mn-lt"/>
            </a:defRPr>
          </a:lvl7pPr>
          <a:lvl8pPr marL="3200400" indent="0">
            <a:defRPr sz="1100">
              <a:latin typeface="+mn-lt"/>
              <a:ea typeface="+mn-lt"/>
              <a:cs typeface="+mn-lt"/>
            </a:defRPr>
          </a:lvl8pPr>
          <a:lvl9pPr marL="3657600" indent="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Nội dung thông báo có thể đặt trường kiểu @@ vào nội dung: </a:t>
          </a:r>
          <a:endParaRPr/>
        </a:p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Ví dụ: Assign task from @@TenNguoiAssign</a:t>
          </a:r>
          <a:endParaRPr/>
        </a:p>
      </xdr:txBody>
    </xdr:sp>
    <xdr:clientData/>
  </xdr:twoCellAnchor>
  <xdr:twoCellAnchor editAs="oneCell">
    <xdr:from>
      <xdr:col>0</xdr:col>
      <xdr:colOff>28575</xdr:colOff>
      <xdr:row>0</xdr:row>
      <xdr:rowOff>57150</xdr:rowOff>
    </xdr:from>
    <xdr:to>
      <xdr:col>4</xdr:col>
      <xdr:colOff>2092325</xdr:colOff>
      <xdr:row>7</xdr:row>
      <xdr:rowOff>101600</xdr:rowOff>
    </xdr:to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1bf42a94b4d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8798e86bb94b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d240ca98000413a" /></Relationships>
</file>

<file path=xl/worksheets/sheet1.xml><?xml version="1.0" encoding="utf-8"?>
<x:worksheet xmlns:x="http://schemas.openxmlformats.org/spreadsheetml/2006/main">
  <x:sheetFormatPr defaultRowHeight="14.449999809265137"/>
  <x:cols>
    <x:col min="1" max="1" width="52.7109375" customWidth="1"/>
    <x:col min="2" max="2" width="20" customWidth="1"/>
    <x:col min="4" max="4" width="17.42578125" customWidth="1"/>
    <x:col min="5" max="5" width="28" customWidth="1"/>
  </x:cols>
  <x:sheetData>
    <x:row r="1" ht="15.600000381469727">
      <x:c r="A1" s="42" t="s">
        <x:v>0</x:v>
      </x:c>
      <x:c r="B1" s="43" t="s">
        <x:v>1</x:v>
      </x:c>
      <x:c r="C1" s="43" t="s">
        <x:v>2</x:v>
      </x:c>
      <x:c r="D1" s="35" t="s">
        <x:v>3</x:v>
      </x:c>
      <x:c r="E1" s="36" t="s">
        <x:v>4</x:v>
      </x:c>
    </x:row>
    <x:row r="2" ht="72" hidden="1" customHeight="1">
      <x:c r="A2" s="27" t="s">
        <x:v>5</x:v>
      </x:c>
      <x:c r="B2" s="28" t="s">
        <x:v>6</x:v>
      </x:c>
      <x:c r="C2" s="28" t="s">
        <x:v>7</x:v>
      </x:c>
      <x:c r="D2" s="68" t="str">
        <x:v>- Quotation #@@QuotationCode - @@ClientName</x:v>
      </x:c>
      <x:c r="E2" s="69" t="str">
        <x:v>Dear @@RecipientName,
A quotation has been submitted for your review and approval.
Quotation ID: @@QuotationCode
Client: @@ShortName
Processed by: @@MakerName
Comment: @@Comment
Please review the quotation and provide your decision.
View quotation: @@urlCallView
Thanks &amp; Best Regards!</x:v>
      </x:c>
    </x:row>
    <x:row r="3" ht="72" hidden="1" customHeight="1">
      <x:c r="A3" s="27" t="s">
        <x:v>8</x:v>
      </x:c>
      <x:c r="B3" s="28" t="s">
        <x:v>9</x:v>
      </x:c>
      <x:c r="C3" s="28" t="s">
        <x:v>7</x:v>
      </x:c>
      <x:c r="D3" s="68" t="str">
        <x:v>- Quotation #@@QuotationCode - @@ClientName</x:v>
      </x:c>
      <x:c r="E3" s="69" t="str">
        <x:v>Dear @@RecipientName,
A quotation has been referred to Underwriting for review.
Quotation ID: @@QuotationCode
Client: @@ShortName
Processed by: @@MakerName
Comment: @@Comment
Please review the quotation and provide your underwriting action.
View quotation: @@urlCallView
Thanks &amp; Best Regards!</x:v>
      </x:c>
    </x:row>
    <x:row r="4" ht="72" hidden="1" customHeight="1">
      <x:c r="A4" s="23" t="s">
        <x:v>10</x:v>
      </x:c>
      <x:c r="B4" s="24" t="s">
        <x:v>11</x:v>
      </x:c>
      <x:c r="C4" s="24" t="s">
        <x:v>7</x:v>
      </x:c>
      <x:c r="D4" s="68" t="str">
        <x:v>- Quotation #@@QuotationCode - @@ClientName</x:v>
      </x:c>
      <x:c r="E4" s="69" t="str">
        <x:v>Dear @@RecipientName,
The quotation has been confirmed by Underwriting and is pending your action.
Quotation ID: @@QuotationCode
Client: @@ShortName
Processed by: @@MakerName
Comment: @@Comment
Please review the risk information and continue processing the quotation.
View quotation: @@urlCallView
Thanks &amp; Best Regards!</x:v>
      </x:c>
    </x:row>
    <x:row r="5" ht="72" hidden="1" customHeight="1">
      <x:c r="A5" s="27" t="s">
        <x:v>12</x:v>
      </x:c>
      <x:c r="B5" s="28" t="s">
        <x:v>11</x:v>
      </x:c>
      <x:c r="C5" s="28" t="s">
        <x:v>7</x:v>
      </x:c>
      <x:c r="D5" s="76" t="str">
        <x:v>- Quotation #@@QuotationCode - @@ClientName</x:v>
      </x:c>
      <x:c r="E5" s="77" t="str">
        <x:v>Dear @@RecipientName,
Underwriting has declined the quotation and returned the request.
Quotation ID: @@QuotationCode
Client: @@ShortName
Processed by: @@MakerName
Comment: @@Comment
Please review the reason and decide whether to revise or cancel the quotation.
View quotation: @@urlCallView
Thanks &amp; Best Regards!</x:v>
      </x:c>
    </x:row>
    <x:row r="6" ht="72" hidden="1" customHeight="1">
      <x:c r="A6" s="23" t="s">
        <x:v>13</x:v>
      </x:c>
      <x:c r="B6" s="24" t="s">
        <x:v>11</x:v>
      </x:c>
      <x:c r="C6" s="24" t="s">
        <x:v>7</x:v>
      </x:c>
      <x:c r="D6" s="76" t="str">
        <x:v>- Quotation #@@QuotationCode - @@ClientName</x:v>
      </x:c>
      <x:c r="E6" s="77" t="str">
        <x:v>Dear @@RecipientName,
The quotation has been signed successfully.
Quotation ID: @@QuotationCode
Client: @@ShortName
Processed by: @@MakerName
Comment: @@Comment
Please continue with the next business step.
View quotation: @@urlCallView
Thanks &amp; Best Regards!</x:v>
      </x:c>
    </x:row>
    <x:row r="7" ht="72" hidden="1" customHeight="1">
      <x:c r="A7" s="27" t="s">
        <x:v>14</x:v>
      </x:c>
      <x:c r="B7" s="28" t="s">
        <x:v>11</x:v>
      </x:c>
      <x:c r="C7" s="28" t="s">
        <x:v>7</x:v>
      </x:c>
      <x:c r="D7" s="76" t="str">
        <x:v>- Quotation #@@QuotationCode - @@ClientName</x:v>
      </x:c>
      <x:c r="E7" s="77" t="str">
        <x:v>Dear @@RecipientName,
The quotation signature was declined.
Quotation ID: @@QuotationCode
Client: @@ShortName
Processed by: @@MakerName
Comment: @@Comment
Please review the comment and revise or cancel the quotation.
View quotation: @@urlCallView
Thanks &amp; Best Regards!</x:v>
      </x:c>
    </x:row>
    <x:row r="8" ht="72" hidden="1" customHeight="1">
      <x:c r="A8" s="23" t="s">
        <x:v>15</x:v>
      </x:c>
      <x:c r="B8" s="24" t="s">
        <x:v>16</x:v>
      </x:c>
      <x:c r="C8" s="24" t="s">
        <x:v>7</x:v>
      </x:c>
      <x:c r="D8" s="76" t="str">
        <x:v>- Quotation #@@QuotationCode - @@ClientName</x:v>
      </x:c>
      <x:c r="E8" s="77" t="str">
        <x:v>Dear @@RecipientName,
Underwriting has approved bypassing the referral step for this endorsement.
Quotation ID: @@QuotationCode
Client: @@ShortName
Processed by: @@MakerName
Comment: @@Comment
Please continue processing the quotation.
View quotation: @@urlCallView
Thanks &amp; Best Regards!</x:v>
      </x:c>
    </x:row>
    <x:row r="9" ht="72" hidden="1" customHeight="1">
      <x:c r="A9" s="27" t="s">
        <x:v>17</x:v>
      </x:c>
      <x:c r="B9" s="28" t="s">
        <x:v>11</x:v>
      </x:c>
      <x:c r="C9" s="28" t="s">
        <x:v>7</x:v>
      </x:c>
      <x:c r="D9" s="68" t="str">
        <x:v>- Quotation #@@QuotationCode - @@ClientName</x:v>
      </x:c>
      <x:c r="E9" s="69" t="str">
        <x:v>Dear Valued Client,
Please find the quotation prepared for your review.
Quotation ID: @@QuotationCode
Client: @@ShortName
Please review and confirm the quotation using the link below.
View quotation: @@urlCallView
Thanks &amp; Best Regards!</x:v>
      </x:c>
    </x:row>
    <x:row r="10" ht="72" hidden="1" customHeight="1">
      <x:c r="A10" s="23" t="s">
        <x:v>18</x:v>
      </x:c>
      <x:c r="B10" s="24" t="s">
        <x:v>11</x:v>
      </x:c>
      <x:c r="C10" s="24" t="s">
        <x:v>7</x:v>
      </x:c>
      <x:c r="D10" s="76" t="str">
        <x:v>- Quotation #@@QuotationCode - @@ClientName</x:v>
      </x:c>
      <x:c r="E10" s="77" t="str">
        <x:v>Dear @@RecipientName,
The client has accepted the quotation.
Quotation ID: @@QuotationCode
Client: @@ShortName
Processed by: @@MakerName
Comment: @@Comment
Please proceed with Policy Issuance when the required information is complete.
View quotation: @@urlCallView
Thanks &amp; Best Regards!</x:v>
      </x:c>
    </x:row>
    <x:row r="11" ht="72" customHeight="1">
      <x:c r="A11" s="27" t="s">
        <x:v>19</x:v>
      </x:c>
      <x:c r="B11" s="28" t="s">
        <x:v>20</x:v>
      </x:c>
      <x:c r="C11" s="28" t="s">
        <x:v>21</x:v>
      </x:c>
      <x:c r="D11" s="68" t="str">
        <x:v>- Policy Issuance #@@PolicyIssuanceCode - @@ClientName</x:v>
      </x:c>
      <x:c r="E11" s="69" t="str">
        <x:v>Dear @@RecipientName,
A new Policy Issuance request has been initiated.
Policy Issuance ID: @@PolicyIssuanceCode
Client: @@ShortName
Processed by: @@MakerName
Comment: @@Comment
Please review and proceed with the Policy Issuance request.
View Policy Issuance: @@urlCallView
Thanks &amp; Best Regards!</x:v>
      </x:c>
    </x:row>
    <x:row r="12" ht="72" customHeight="1">
      <x:c r="A12" s="23" t="s">
        <x:v>22</x:v>
      </x:c>
      <x:c r="B12" s="24" t="s">
        <x:v>11</x:v>
      </x:c>
      <x:c r="C12" s="24" t="s">
        <x:v>21</x:v>
      </x:c>
      <x:c r="D12" s="76" t="str">
        <x:v>- Policy Issuance #@@PolicyIssuanceCode - @@ClientName</x:v>
      </x:c>
      <x:c r="E12" s="77" t="str">
        <x:v>Dear @@RecipientName,
The Project Manager has accepted the Policy Issuance request.
Policy Issuance ID: @@PolicyIssuanceCode
Client: @@ShortName
Processed by: @@MakerName
Comment: @@Comment
Please review the request and continue processing.
View Policy Issuance: @@urlCallView
Thanks &amp; Best Regards!</x:v>
      </x:c>
    </x:row>
    <x:row r="13" ht="72" customHeight="1">
      <x:c r="A13" s="27" t="s">
        <x:v>23</x:v>
      </x:c>
      <x:c r="B13" s="28" t="s">
        <x:v>11</x:v>
      </x:c>
      <x:c r="C13" s="28" t="s">
        <x:v>21</x:v>
      </x:c>
      <x:c r="D13" s="68" t="str">
        <x:v>- Policy Issuance #@@PolicyIssuanceCode - @@ClientName</x:v>
      </x:c>
      <x:c r="E13" s="69" t="str">
        <x:v>Dear @@RecipientName,
The Project Manager has requested a document follow-up for this Policy Issuance.
Policy Issuance ID: @@PolicyIssuanceCode
Client: @@ShortName
Processed by: @@MakerName
Comment: @@Comment
Please check the required documents and provide the signed documents.
View Policy Issuance: @@urlCallView
Thanks &amp; Best Regards!</x:v>
      </x:c>
    </x:row>
    <x:row r="14" ht="72" customHeight="1">
      <x:c r="A14" s="23" t="s">
        <x:v>24</x:v>
      </x:c>
      <x:c r="B14" s="24" t="s">
        <x:v>11</x:v>
      </x:c>
      <x:c r="C14" s="24" t="s">
        <x:v>21</x:v>
      </x:c>
      <x:c r="D14" s="76" t="str">
        <x:v>- Policy Issuance #@@PolicyIssuanceCode - @@ClientName</x:v>
      </x:c>
      <x:c r="E14" s="77" t="str">
        <x:v>Dear @@RecipientName,
The signed policy documents have been returned by PM to MKT.
Policy Issuance ID: @@PolicyIssuanceCode
Client: @@ShortName
Processed by: @@MakerName
Comment: @@Comment
Please review the documents before sending them to the client.
View Policy Issuance: @@urlCallView
Thanks &amp; Best Regards!</x:v>
      </x:c>
    </x:row>
    <x:row r="15" ht="72" customHeight="1">
      <x:c r="A15" s="27" t="s">
        <x:v>25</x:v>
      </x:c>
      <x:c r="B15" s="28" t="s">
        <x:v>11</x:v>
      </x:c>
      <x:c r="C15" s="28" t="s">
        <x:v>21</x:v>
      </x:c>
      <x:c r="D15" s="76" t="str">
        <x:v>- Policy Issuance #@@PolicyIssuanceCode - @@ClientName</x:v>
      </x:c>
      <x:c r="E15" s="77" t="str">
        <x:v>Dear @@RecipientName,
The policy documents have been sent to the client for signature.
Policy Issuance ID: @@PolicyIssuanceCode
Client: @@ShortName
Processed by: @@MakerName
Comment: @@Comment
Please follow up with the client and upload the signed documents when received.
View Policy Issuance: @@urlCallView
Thanks &amp; Best Regards!</x:v>
      </x:c>
    </x:row>
    <x:row r="16" ht="72" customHeight="1">
      <x:c r="A16" s="23" t="s">
        <x:v>26</x:v>
      </x:c>
      <x:c r="B16" s="24" t="s">
        <x:v>11</x:v>
      </x:c>
      <x:c r="C16" s="24" t="s">
        <x:v>21</x:v>
      </x:c>
      <x:c r="D16" s="68" t="str">
        <x:v>- Policy Issuance #@@PolicyIssuanceCode - @@ClientName</x:v>
      </x:c>
      <x:c r="E16" s="69" t="str">
        <x:v>Dear @@RecipientName,
The client has signed and returned the documents. FO/TS has uploaded the signed documents.
Policy Issuance ID: @@PolicyIssuanceCode
Client: @@ShortName
Processed by: @@MakerName
Comment: @@Comment
Please review the documents and complete the task.
View Policy Issuance: @@urlCallView
Thanks &amp; Best Regards!</x:v>
      </x:c>
    </x:row>
    <x:row r="17" ht="72" hidden="0" customHeight="1">
      <x:c r="A17" s="60" t="str">
        <x:v>TS trả báo giá về FO</x:v>
      </x:c>
      <x:c r="B17" s="60" t="str">
        <x:v>FO</x:v>
      </x:c>
      <x:c r="C17" s="60" t="str">
        <x:v>Báo giá</x:v>
      </x:c>
      <x:c r="D17" s="80" t="str">
        <x:v>- Quotation #@@QuotationCode - @@ClientName</x:v>
      </x:c>
      <x:c r="E17" s="80" t="str">
        <x:v>Dear @@RecipientName,
The Technical Survey task has been completed and routed back to FO.
Quotation ID: @@QuotationCode
Client: @@ShortName
Processed by: @@MakerName
Comment: @@Comment
Please continue reviewing and processing the quotation.
View quotation: @@urlCallView
Thanks &amp; Best Regards!</x:v>
      </x:c>
    </x:row>
    <x:row r="18" ht="72" hidden="0" customHeight="1">
      <x:c r="A18" s="60" t="str">
        <x:v>FO/TS chỉnh sửa và gửi lại báo giá</x:v>
      </x:c>
      <x:c r="B18" s="60" t="str">
        <x:v>All PIC</x:v>
      </x:c>
      <x:c r="C18" s="60" t="str">
        <x:v>Báo giá</x:v>
      </x:c>
      <x:c r="D18" s="83" t="str">
        <x:v>- Quotation #@@QuotationCode - @@ClientName</x:v>
      </x:c>
      <x:c r="E18" s="83" t="str">
        <x:v>Dear @@RecipientName,
The quotation has been revised and resubmitted by FO/TS.
Quotation ID: @@QuotationCode
Client: @@ShortName
Processed by: @@MakerName
Comment: @@Comment
Please review the updated quotation and continue processing.
View quotation: @@urlCallView
Thanks &amp; Best Regards!</x:v>
      </x:c>
    </x:row>
    <x:row r="19" ht="72" hidden="0" customHeight="1">
      <x:c r="A19" s="60" t="str">
        <x:v>UW yêu cầu bổ sung thông tin</x:v>
      </x:c>
      <x:c r="B19" s="60" t="str">
        <x:v>MKT-FO</x:v>
      </x:c>
      <x:c r="C19" s="60" t="str">
        <x:v>Báo giá</x:v>
      </x:c>
      <x:c r="D19" s="83" t="str">
        <x:v>- Quotation #@@QuotationCode - @@ClientName</x:v>
      </x:c>
      <x:c r="E19" s="83" t="str">
        <x:v>Dear @@RecipientName,
Underwriting requires additional information for the quotation.
Quotation ID: @@QuotationCode
Client: @@ShortName
Processed by: @@MakerName
Comment: @@Comment
Please provide the requested information and resubmit the quotation.
View quotation: @@urlCallView
Thanks &amp; Best Regards!</x:v>
      </x:c>
    </x:row>
    <x:row r="20" ht="72" hidden="0" customHeight="1">
      <x:c r="A20" s="60" t="str">
        <x:v>UW trả báo giá về FO</x:v>
      </x:c>
      <x:c r="B20" s="60" t="str">
        <x:v>MKT-FO</x:v>
      </x:c>
      <x:c r="C20" s="60" t="str">
        <x:v>Báo giá</x:v>
      </x:c>
      <x:c r="D20" s="80" t="str">
        <x:v>- Quotation #@@QuotationCode - @@ClientName</x:v>
      </x:c>
      <x:c r="E20" s="80" t="str">
        <x:v>Dear @@RecipientName,
The quotation has been routed back to FO for review.
Quotation ID: @@QuotationCode
Client: @@ShortName
Processed by: @@MakerName
Comment: @@Comment
Please check the quotation information and select the appropriate next action.
View quotation: @@urlCallView
Thanks &amp; Best Regards!</x:v>
      </x:c>
    </x:row>
    <x:row r="21" ht="72" hidden="0" customHeight="1">
      <x:c r="A21" s="60" t="str">
        <x:v>MKT/MGR trả báo giá về FO để chỉnh sửa</x:v>
      </x:c>
      <x:c r="B21" s="60" t="str">
        <x:v>FO</x:v>
      </x:c>
      <x:c r="C21" s="60" t="str">
        <x:v>Báo giá</x:v>
      </x:c>
      <x:c r="D21" s="83" t="str">
        <x:v>- Quotation #@@QuotationCode - @@ClientName</x:v>
      </x:c>
      <x:c r="E21" s="83" t="str">
        <x:v>Dear @@RecipientName,
MKT/MGR has returned the quotation to FO for revision.
Quotation ID: @@QuotationCode
Client: @@ShortName
Processed by: @@MakerName
Comment: @@Comment
Please update the quotation based on the comment and resubmit it.
View quotation: @@urlCallView
Thanks &amp; Best Regards!</x:v>
      </x:c>
    </x:row>
    <x:row r="22" ht="72" hidden="0" customHeight="1">
      <x:c r="A22" s="60" t="str">
        <x:v>Khách hàng từ chối báo giá</x:v>
      </x:c>
      <x:c r="B22" s="60" t="str">
        <x:v>All PIC</x:v>
      </x:c>
      <x:c r="C22" s="60" t="str">
        <x:v>Báo giá</x:v>
      </x:c>
      <x:c r="D22" s="83" t="str">
        <x:v>- Quotation #@@QuotationCode - @@ClientName</x:v>
      </x:c>
      <x:c r="E22" s="83" t="str">
        <x:v>Dear @@RecipientName,
The client has declined the quotation.
Quotation ID: @@QuotationCode
Client: @@ShortName
Processed by: @@MakerName
Comment: @@Comment
Please record the client response and close or revise the quotation as appropriate.
View quotation: @@urlCallView
Thanks &amp; Best Regards!</x:v>
      </x:c>
    </x:row>
    <x:row r="23" ht="72" hidden="0" customHeight="1">
      <x:c r="A23" s="60" t="str">
        <x:v>FO/TMIV hủy báo giá</x:v>
      </x:c>
      <x:c r="B23" s="60" t="str">
        <x:v>All PIC</x:v>
      </x:c>
      <x:c r="C23" s="60" t="str">
        <x:v>Báo giá</x:v>
      </x:c>
      <x:c r="D23" s="83" t="str">
        <x:v>- Quotation #@@QuotationCode - @@ClientName</x:v>
      </x:c>
      <x:c r="E23" s="83" t="str">
        <x:v>Dear @@RecipientName,
The quotation has been cancelled by FO/TMIV.
Quotation ID: @@QuotationCode
Client: @@ShortName
Processed by: @@MakerName
Comment: @@Comment
No further action is required unless clarification is needed.
View quotation: @@urlCallView
Thanks &amp; Best Regards!</x:v>
      </x:c>
    </x:row>
    <x:row r="24" ht="72" hidden="0" customHeight="1">
      <x:c r="A24" s="60" t="str">
        <x:v>Báo giá cần ký lại sau khi revise</x:v>
      </x:c>
      <x:c r="B24" s="60" t="str">
        <x:v>MKT-MGR</x:v>
      </x:c>
      <x:c r="C24" s="60" t="str">
        <x:v>Báo giá</x:v>
      </x:c>
      <x:c r="D24" s="83" t="str">
        <x:v>- Quotation #@@QuotationCode - @@ClientName</x:v>
      </x:c>
      <x:c r="E24" s="83" t="str">
        <x:v>Dear @@RecipientName,
The revised quotation requires a new signature.
Quotation ID: @@QuotationCode
Client: @@ShortName
Processed by: @@MakerName
Comment: @@Comment
Please review and sign the latest quotation version.
View quotation: @@urlCallView
Thanks &amp; Best Regards!</x:v>
      </x:c>
    </x:row>
    <x:row r="25" ht="72" hidden="0" customHeight="1">
      <x:c r="A25" s="60" t="str">
        <x:v>FO giao cấp đơn cho TS</x:v>
      </x:c>
      <x:c r="B25" s="60" t="str">
        <x:v>TS</x:v>
      </x:c>
      <x:c r="C25" s="60" t="str">
        <x:v>Cấp đơn</x:v>
      </x:c>
      <x:c r="D25" s="83" t="str">
        <x:v>- Policy Issuance #@@PolicyIssuanceCode - @@ClientName</x:v>
      </x:c>
      <x:c r="E25" s="83" t="str">
        <x:v>Dear @@RecipientName,
FO has assigned the Policy Issuance request to TS.
Policy Issuance ID: @@PolicyIssuanceCode
Client: @@ShortName
Processed by: @@MakerName
Comment: @@Comment
Please review the request and forward it to PM when ready.
View Policy Issuance: @@urlCallView
Thanks &amp; Best Regards!</x:v>
      </x:c>
    </x:row>
    <x:row r="26" ht="72" hidden="0" customHeight="1">
      <x:c r="A26" s="60" t="str">
        <x:v>FO bỏ qua TS và gửi trực tiếp PM</x:v>
      </x:c>
      <x:c r="B26" s="60" t="str">
        <x:v>PM</x:v>
      </x:c>
      <x:c r="C26" s="60" t="str">
        <x:v>Cấp đơn</x:v>
      </x:c>
      <x:c r="D26" s="83" t="str">
        <x:v>- Policy Issuance #@@PolicyIssuanceCode - @@ClientName</x:v>
      </x:c>
      <x:c r="E26" s="83" t="str">
        <x:v>Dear @@RecipientName,
FO has sent the Policy Issuance request directly to PM.
Policy Issuance ID: @@PolicyIssuanceCode
Client: @@ShortName
Processed by: @@MakerName
Comment: @@Comment
Please review and process the request.
View Policy Issuance: @@urlCallView
Thanks &amp; Best Regards!</x:v>
      </x:c>
    </x:row>
    <x:row r="27" ht="72" hidden="0" customHeight="1">
      <x:c r="A27" s="60" t="str">
        <x:v>TS chuyển request cấp đơn sang PM</x:v>
      </x:c>
      <x:c r="B27" s="60" t="str">
        <x:v>PM</x:v>
      </x:c>
      <x:c r="C27" s="60" t="str">
        <x:v>Cấp đơn</x:v>
      </x:c>
      <x:c r="D27" s="83" t="str">
        <x:v>- Policy Issuance #@@PolicyIssuanceCode - @@ClientName</x:v>
      </x:c>
      <x:c r="E27" s="83" t="str">
        <x:v>Dear @@RecipientName,
TS has completed the review and forwarded the Policy Issuance request to PM.
Policy Issuance ID: @@PolicyIssuanceCode
Client: @@ShortName
Processed by: @@MakerName
Comment: @@Comment
Please review and process the request.
View Policy Issuance: @@urlCallView
Thanks &amp; Best Regards!</x:v>
      </x:c>
    </x:row>
    <x:row r="28" ht="72" hidden="0" customHeight="1">
      <x:c r="A28" s="60" t="str">
        <x:v>PM trả request về FO</x:v>
      </x:c>
      <x:c r="B28" s="60" t="str">
        <x:v>FO</x:v>
      </x:c>
      <x:c r="C28" s="60" t="str">
        <x:v>Cấp đơn</x:v>
      </x:c>
      <x:c r="D28" s="83" t="str">
        <x:v>- Policy Issuance #@@PolicyIssuanceCode - @@ClientName</x:v>
      </x:c>
      <x:c r="E28" s="83" t="str">
        <x:v>Dear @@RecipientName,
PM has returned the Policy Issuance request to FO for revision.
Policy Issuance ID: @@PolicyIssuanceCode
Client: @@ShortName
Processed by: @@MakerName
Comment: @@Comment
Please update the request based on the comment and resubmit it.
View Policy Issuance: @@urlCallView
Thanks &amp; Best Regards!</x:v>
      </x:c>
    </x:row>
    <x:row r="29" ht="72" hidden="0" customHeight="1">
      <x:c r="A29" s="60" t="str">
        <x:v>PM trả request về TS</x:v>
      </x:c>
      <x:c r="B29" s="60" t="str">
        <x:v>TS</x:v>
      </x:c>
      <x:c r="C29" s="60" t="str">
        <x:v>Cấp đơn</x:v>
      </x:c>
      <x:c r="D29" s="83" t="str">
        <x:v>- Policy Issuance #@@PolicyIssuanceCode - @@ClientName</x:v>
      </x:c>
      <x:c r="E29" s="83" t="str">
        <x:v>Dear @@RecipientName,
PM has returned the Policy Issuance request to TS for revision.
Policy Issuance ID: @@PolicyIssuanceCode
Client: @@ShortName
Processed by: @@MakerName
Comment: @@Comment
Please update the request based on the comment and resubmit it.
View Policy Issuance: @@urlCallView
Thanks &amp; Best Regards!</x:v>
      </x:c>
    </x:row>
    <x:row r="30" ht="72" hidden="0" customHeight="1">
      <x:c r="A30" s="60" t="str">
        <x:v>FO/TS chỉnh sửa và gửi lại PM</x:v>
      </x:c>
      <x:c r="B30" s="60" t="str">
        <x:v>PM</x:v>
      </x:c>
      <x:c r="C30" s="60" t="str">
        <x:v>Cấp đơn</x:v>
      </x:c>
      <x:c r="D30" s="83" t="str">
        <x:v>- Policy Issuance #@@PolicyIssuanceCode - @@ClientName</x:v>
      </x:c>
      <x:c r="E30" s="83" t="str">
        <x:v>Dear @@RecipientName,
FO/TS has revised and resubmitted the Policy Issuance request to PM.
Policy Issuance ID: @@PolicyIssuanceCode
Client: @@ShortName
Processed by: @@MakerName
Comment: @@Comment
Please review the updated request and continue processing.
View Policy Issuance: @@urlCallView
Thanks &amp; Best Regards!</x:v>
      </x:c>
    </x:row>
    <x:row r="31" ht="72" hidden="0" customHeight="1">
      <x:c r="A31" s="60" t="str">
        <x:v>FO thu hồi request cấp đơn</x:v>
      </x:c>
      <x:c r="B31" s="60" t="str">
        <x:v>All PIC</x:v>
      </x:c>
      <x:c r="C31" s="60" t="str">
        <x:v>Cấp đơn</x:v>
      </x:c>
      <x:c r="D31" s="83" t="str">
        <x:v>- Policy Issuance #@@PolicyIssuanceCode - @@ClientName</x:v>
      </x:c>
      <x:c r="E31" s="83" t="str">
        <x:v>Dear @@RecipientName,
FO has withdrawn the Policy Issuance request.
Policy Issuance ID: @@PolicyIssuanceCode
Client: @@ShortName
Processed by: @@MakerName
Comment: @@Comment
Please stop processing until the request is resubmitted.
View Policy Issuance: @@urlCallView
Thanks &amp; Best Regards!</x:v>
      </x:c>
    </x:row>
    <x:row r="32" ht="72" hidden="0" customHeight="1">
      <x:c r="A32" s="60" t="str">
        <x:v>TS thu hồi request cấp đơn</x:v>
      </x:c>
      <x:c r="B32" s="60" t="str">
        <x:v>All PIC</x:v>
      </x:c>
      <x:c r="C32" s="60" t="str">
        <x:v>Cấp đơn</x:v>
      </x:c>
      <x:c r="D32" s="83" t="str">
        <x:v>- Policy Issuance #@@PolicyIssuanceCode - @@ClientName</x:v>
      </x:c>
      <x:c r="E32" s="83" t="str">
        <x:v>Dear @@RecipientName,
TS has withdrawn the Policy Issuance request.
Policy Issuance ID: @@PolicyIssuanceCode
Client: @@ShortName
Processed by: @@MakerName
Comment: @@Comment
Please stop processing until the request is resubmitted.
View Policy Issuance: @@urlCallView
Thanks &amp; Best Regards!</x:v>
      </x:c>
    </x:row>
    <x:row r="33" ht="72" hidden="0" customHeight="1">
      <x:c r="A33" s="60" t="str">
        <x:v>Hủy request cấp đơn</x:v>
      </x:c>
      <x:c r="B33" s="60" t="str">
        <x:v>All PIC</x:v>
      </x:c>
      <x:c r="C33" s="60" t="str">
        <x:v>Cấp đơn</x:v>
      </x:c>
      <x:c r="D33" s="83" t="str">
        <x:v>- Policy Issuance #@@PolicyIssuanceCode - @@ClientName</x:v>
      </x:c>
      <x:c r="E33" s="83" t="str">
        <x:v>Dear @@RecipientName,
The Policy Issuance request has been cancelled.
Policy Issuance ID: @@PolicyIssuanceCode
Client: @@ShortName
Processed by: @@MakerName
Comment: @@Comment
No further action is required unless clarification is needed.
View Policy Issuance: @@urlCallView
Thanks &amp; Best Regards!</x:v>
      </x:c>
    </x:row>
    <x:row r="34" ht="72" hidden="0" customHeight="1">
      <x:c r="A34" s="60" t="str">
        <x:v>Hoàn tất cấp đơn (Issued)</x:v>
      </x:c>
      <x:c r="B34" s="60" t="str">
        <x:v>All PIC</x:v>
      </x:c>
      <x:c r="C34" s="60" t="str">
        <x:v>Cấp đơn</x:v>
      </x:c>
      <x:c r="D34" s="80" t="str">
        <x:v>- Policy Issuance #@@PolicyIssuanceCode - @@ClientName</x:v>
      </x:c>
      <x:c r="E34" s="80" t="str">
        <x:v>Dear @@RecipientName,
The Policy Issuance request is ready for completion.
Policy Issuance ID: @@PolicyIssuanceCode
Client: @@ShortName
Processed by: @@MakerName
Comment: @@Comment
Please complete the final Policy Issuance task.
View Policy Issuance: @@urlCallView
Thanks &amp; Best Regards!</x:v>
      </x:c>
    </x:row>
    <x:row r="35" ht="72" hidden="0" customHeight="1">
      <x:c r="A35" s="60" t="str">
        <x:v>Nhận đủ chứng từ follow up</x:v>
      </x:c>
      <x:c r="B35" s="60" t="str">
        <x:v>All PIC</x:v>
      </x:c>
      <x:c r="C35" s="60" t="str">
        <x:v>Cấp đơn</x:v>
      </x:c>
      <x:c r="D35" s="83" t="str">
        <x:v>- Policy Issuance #@@PolicyIssuanceCode - @@ClientName</x:v>
      </x:c>
      <x:c r="E35" s="83" t="str">
        <x:v>Dear @@RecipientName,
All required follow-up documents have been received.
Policy Issuance ID: @@PolicyIssuanceCode
Client: @@ShortName
Processed by: @@MakerName
Comment: @@Comment
Please verify the documents and continue with Policy Issuance completion.
View Policy Issuance: @@urlCallView
Thanks &amp; Best Regards!</x:v>
      </x:c>
    </x:row>
    <x:row r="36" ht="72" hidden="0" customHeight="1">
      <x:c r="A36" s="60" t="str">
        <x:v>Đồng bộ Policy No thất bại</x:v>
      </x:c>
      <x:c r="B36" s="60" t="str">
        <x:v>PM</x:v>
      </x:c>
      <x:c r="C36" s="60" t="str">
        <x:v>Cấp đơn</x:v>
      </x:c>
      <x:c r="D36" s="83" t="str">
        <x:v>- Policy Issuance #@@PolicyIssuanceCode - @@ClientName</x:v>
      </x:c>
      <x:c r="E36" s="83" t="str">
        <x:v>Dear @@RecipientName,
The Policy Number could not be synchronized.
Policy Issuance ID: @@PolicyIssuanceCode
Client: @@ShortName
Processed by: @@MakerName
Comment: @@Comment
Please check the policy data and retry the synchronization.
View Policy Issuance: @@urlCallView
Thanks &amp; Best Regards!</x:v>
      </x:c>
    </x:row>
    <x:row r="37" ht="72" hidden="0" customHeight="1">
      <x:c r="A37" s="60" t="str">
        <x:v>Follow up quá hạn hoặc chưa nhận bản ký</x:v>
      </x:c>
      <x:c r="B37" s="60" t="str">
        <x:v>All PIC</x:v>
      </x:c>
      <x:c r="C37" s="60" t="str">
        <x:v>Cấp đơn</x:v>
      </x:c>
      <x:c r="D37" s="83" t="str">
        <x:v>- Policy Issuance #@@PolicyIssuanceCode - @@ClientName</x:v>
      </x:c>
      <x:c r="E37" s="83" t="str">
        <x:v>Dear @@RecipientName,
The Policy Issuance follow-up is overdue or the signed documents have not been received.
Policy Issuance ID: @@PolicyIssuanceCode
Client: @@ShortName
Processed by: @@MakerName
Comment: @@Comment
Please follow up with the responsible party and update the request status.
View Policy Issuance: @@urlCallView
Thanks &amp; Best Regards!</x:v>
      </x:c>
    </x:row>
    <x:row r="38" ht="72" customHeight="1">
      <x:c r="A38" s="112" t="str">
        <x:v>Tạo request báo giá thành công</x:v>
      </x:c>
      <x:c r="B38" s="112" t="str">
        <x:v>MKT-TS</x:v>
      </x:c>
      <x:c r="C38" s="112" t="str">
        <x:v>Báo giá</x:v>
      </x:c>
      <x:c r="D38" s="112" t="str">
        <x:v>- Quotation #@@QuotationCode - @@ClientName</x:v>
      </x:c>
      <x:c r="E38" s="112" t="str">
        <x:v>Dear @@RecipientName,
A new quotation request has been created successfully.
Quotation ID: @@QuotationCode
Client: @@ShortName
Assigned by: @@MakerName
Comment: @@Comment
Please review the request and continue with the next step.
View quotation: @@urlCallView
Thanks &amp; Best Regards!</x:v>
      </x:c>
    </x:row>
    <x:row r="39" ht="72" customHeight="1">
      <x:c r="A39" s="112" t="str">
        <x:v>Assign báo giá cho TS</x:v>
      </x:c>
      <x:c r="B39" s="112" t="str">
        <x:v>TS</x:v>
      </x:c>
      <x:c r="C39" s="112" t="str">
        <x:v>Báo giá</x:v>
      </x:c>
      <x:c r="D39" s="112" t="str">
        <x:v>- Quotation #@@QuotationCode - @@ClientName</x:v>
      </x:c>
      <x:c r="E39" s="112" t="str">
        <x:v>Dear @@RecipientName,
A quotation task has been assigned to Technical Survey.
Quotation ID: @@QuotationCode
Client: @@ShortName
Assigned by: @@MakerName
Comment: @@Comment
Please accept the task and review the quotation information.
View quotation: @@urlCallView
Thanks &amp; Best Regards!</x:v>
      </x:c>
    </x:row>
    <x:row r="40" ht="72" customHeight="1">
      <x:c r="A40" s="112" t="str">
        <x:v>Assign báo giá cho UW</x:v>
      </x:c>
      <x:c r="B40" s="112" t="str">
        <x:v>UW</x:v>
      </x:c>
      <x:c r="C40" s="112" t="str">
        <x:v>Báo giá</x:v>
      </x:c>
      <x:c r="D40" s="112" t="str">
        <x:v>- Quotation #@@QuotationCode - @@ClientName</x:v>
      </x:c>
      <x:c r="E40" s="112" t="str">
        <x:v>Dear @@RecipientName,
A quotation task has been assigned to Underwriting.
Quotation ID: @@QuotationCode
Client: @@ShortName
Assigned by: @@MakerName
Comment: @@Comment
Please accept the task and provide the underwriting decision.
View quotation: @@urlCallView
Thanks &amp; Best Regards!</x:v>
      </x:c>
    </x:row>
    <x:row r="41" ht="72" customHeight="1">
      <x:c r="A41" s="112" t="str">
        <x:v>Reassign báo giá cho PIC khác</x:v>
      </x:c>
      <x:c r="B41" s="112" t="str">
        <x:v>PIC mới</x:v>
      </x:c>
      <x:c r="C41" s="112" t="str">
        <x:v>Báo giá</x:v>
      </x:c>
      <x:c r="D41" s="112" t="str">
        <x:v>- Quotation #@@QuotationCode - @@ClientName</x:v>
      </x:c>
      <x:c r="E41" s="112" t="str">
        <x:v>Dear @@RecipientName,
A quotation task has been reassigned to you.
Quotation ID: @@QuotationCode
Client: @@ShortName
Assigned by: @@MakerName
Comment: @@Comment
Please accept the task and continue processing the quotation.
View quotation: @@urlCallView
Thanks &amp; Best Regards!</x:v>
      </x:c>
    </x:row>
    <x:row r="42" ht="72" customHeight="1">
      <x:c r="A42" s="112" t="str">
        <x:v>Tạo request cấp đơn thành công</x:v>
      </x:c>
      <x:c r="B42" s="112" t="str">
        <x:v>TS/PM</x:v>
      </x:c>
      <x:c r="C42" s="112" t="str">
        <x:v>Cấp đơn</x:v>
      </x:c>
      <x:c r="D42" s="112" t="str">
        <x:v>- Policy Issuance #@@PolicyIssuanceCode - @@ClientName</x:v>
      </x:c>
      <x:c r="E42" s="112" t="str">
        <x:v>Dear @@RecipientName,
A new Policy Issuance request has been created successfully.
Policy Issuance ID: @@PolicyIssuanceCode
Client: @@ShortName
Assigned by: @@MakerName
Comment: @@Comment
Please review the request and continue with the next step.
View Policy Issuance: @@urlCallView
Thanks &amp; Best Regards!</x:v>
      </x:c>
    </x:row>
    <x:row r="43" ht="72" customHeight="1">
      <x:c r="A43" s="112" t="str">
        <x:v>Assign cấp đơn cho PM</x:v>
      </x:c>
      <x:c r="B43" s="112" t="str">
        <x:v>PM</x:v>
      </x:c>
      <x:c r="C43" s="112" t="str">
        <x:v>Cấp đơn</x:v>
      </x:c>
      <x:c r="D43" s="112" t="str">
        <x:v>- Policy Issuance #@@PolicyIssuanceCode - @@ClientName</x:v>
      </x:c>
      <x:c r="E43" s="112" t="str">
        <x:v>Dear @@RecipientName,
A Policy Issuance task has been assigned to Project Manager.
Policy Issuance ID: @@PolicyIssuanceCode
Client: @@ShortName
Assigned by: @@MakerName
Comment: @@Comment
Please accept the task and continue processing the request.
View Policy Issuance: @@urlCallView
Thanks &amp; Best Regards!</x:v>
      </x:c>
    </x:row>
    <x:row r="44" ht="72" customHeight="1">
      <x:c r="A44" s="112" t="str">
        <x:v>Reassign cấp đơn cho PIC khác</x:v>
      </x:c>
      <x:c r="B44" s="112" t="str">
        <x:v>PIC mới</x:v>
      </x:c>
      <x:c r="C44" s="112" t="str">
        <x:v>Cấp đơn</x:v>
      </x:c>
      <x:c r="D44" s="112" t="str">
        <x:v>- Policy Issuance #@@PolicyIssuanceCode - @@ClientName</x:v>
      </x:c>
      <x:c r="E44" s="112" t="str">
        <x:v>Dear @@RecipientName,
A Policy Issuance task has been reassigned to you.
Policy Issuance ID: @@PolicyIssuanceCode
Client: @@ShortName
Assigned by: @@MakerName
Comment: @@Comment
Please accept the task and continue processing the request.
View Policy Issuance: @@urlCallView
Thanks &amp; Best Regards!</x:v>
      </x:c>
    </x:row>
  </x:sheetData>
  <x:pageMargins left="0.7" right="0.7" top="0.75" bottom="0.75" header="0.3" footer="0.3"/>
  <x:drawing xmlns:r="http://schemas.openxmlformats.org/officeDocument/2006/relationships" r:id="R348798e86bb94b0f"/>
</x:worksheet>
</file>

<file path=xl/worksheets/sheet2.xml><?xml version="1.0" encoding="utf-8"?>
<x:worksheet xmlns:x="http://schemas.openxmlformats.org/spreadsheetml/2006/main">
  <x:sheetFormatPr defaultRowHeight="14.449999809265137"/>
  <x:cols>
    <x:col min="1" max="1" width="38.140625" style="1" customWidth="1"/>
    <x:col min="2" max="2" width="17.7109375" style="1" customWidth="1"/>
    <x:col min="3" max="3" width="24.42578125" hidden="1" customWidth="1"/>
    <x:col min="4" max="4" width="28.85546875" style="1" customWidth="1"/>
    <x:col min="5" max="5" width="59" style="1" customWidth="1"/>
    <x:col min="6" max="6" width="34.5703125" style="1" customWidth="1"/>
  </x:cols>
  <x:sheetData>
    <x:row r="9" ht="15.600000381469727">
      <x:c r="A9" s="2" t="s">
        <x:v>27</x:v>
      </x:c>
      <x:c r="B9" s="3" t="s">
        <x:v>2</x:v>
      </x:c>
      <x:c r="C9" s="4" t="s">
        <x:v>28</x:v>
      </x:c>
      <x:c r="D9" s="37" t="s">
        <x:v>29</x:v>
      </x:c>
      <x:c r="E9" s="38" t="s">
        <x:v>30</x:v>
      </x:c>
      <x:c r="F9" s="38" t="s">
        <x:v>31</x:v>
      </x:c>
    </x:row>
    <x:row r="10" ht="60" customHeight="1">
      <x:c r="A10" s="5" t="s">
        <x:v>32</x:v>
      </x:c>
      <x:c r="B10" s="6" t="s">
        <x:v>33</x:v>
      </x:c>
      <x:c r="C10" s="7" t="s">
        <x:v>34</x:v>
      </x:c>
      <x:c r="D10" s="90" t="str">
        <x:v>New Quotation @@QuotationCode has been initialized.</x:v>
      </x:c>
      <x:c r="E10" s="91" t="str">
        <x:v>{{Subject}} - @@QuotationCode</x:v>
      </x:c>
      <x:c r="F10" s="8" t="s">
        <x:v>35</x:v>
      </x:c>
    </x:row>
    <x:row r="11" ht="60" customHeight="1">
      <x:c r="A11" s="9" t="s">
        <x:v>36</x:v>
      </x:c>
      <x:c r="B11" s="10" t="s">
        <x:v>37</x:v>
      </x:c>
      <x:c r="C11" s="11" t="s">
        <x:v>38</x:v>
      </x:c>
      <x:c r="D11" s="98" t="str">
        <x:v>New task assigned: {0}</x:v>
      </x:c>
      <x:c r="E11" s="99" t="str">
        <x:v>A workflow task has been assigned to you. Please review the details and take action.</x:v>
      </x:c>
      <x:c r="F11" s="12"/>
    </x:row>
    <x:row r="12" ht="60" customHeight="1">
      <x:c r="A12" s="5" t="s">
        <x:v>39</x:v>
      </x:c>
      <x:c r="B12" s="6" t="s">
        <x:v>40</x:v>
      </x:c>
      <x:c r="C12" s="7" t="s">
        <x:v>41</x:v>
      </x:c>
      <x:c r="D12" s="90" t="str">
        <x:v>Policy Issuance Update: {0}</x:v>
      </x:c>
      <x:c r="E12" s="91" t="str">
        <x:v>PolicyIssuance @@PolicyIssuanceCode has been updated by @@ModifiedBy.
Details are as follows:
&lt;&lt;comment&gt;&gt;</x:v>
      </x:c>
      <x:c r="F12" s="8" t="s">
        <x:v>42</x:v>
      </x:c>
    </x:row>
    <x:row r="13" ht="60" customHeight="1">
      <x:c r="A13" s="9" t="s">
        <x:v>43</x:v>
      </x:c>
      <x:c r="B13" s="10" t="s">
        <x:v>33</x:v>
      </x:c>
      <x:c r="C13" s="11" t="s">
        <x:v>44</x:v>
      </x:c>
      <x:c r="D13" s="90" t="str">
        <x:v>{0} {1} - {2} from {3}</x:v>
      </x:c>
      <x:c r="E13" s="91" t="str">
        <x:v>Quotation @@QuotationCode has been updated by @@ModifiedBy.
Details are as follows:
&lt;&lt;comment&gt;&gt;</x:v>
      </x:c>
      <x:c r="F13" s="8" t="s">
        <x:v>42</x:v>
      </x:c>
    </x:row>
    <x:row r="14" ht="60" customHeight="1">
      <x:c r="A14" s="5" t="s">
        <x:v>45</x:v>
      </x:c>
      <x:c r="B14" s="6" t="s">
        <x:v>37</x:v>
      </x:c>
      <x:c r="C14" s="7" t="s">
        <x:v>46</x:v>
      </x:c>
      <x:c r="D14" s="98" t="str">
        <x:v>Task accepted: {0}</x:v>
      </x:c>
      <x:c r="E14" s="99" t="str">
        <x:v>The assigned workflow task has been accepted by @@ModifiedBy.</x:v>
      </x:c>
      <x:c r="F14" s="8"/>
    </x:row>
    <x:row r="15" ht="60" customHeight="1">
      <x:c r="A15" s="9" t="s">
        <x:v>47</x:v>
      </x:c>
      <x:c r="B15" s="10" t="s">
        <x:v>33</x:v>
      </x:c>
      <x:c r="C15" s="11" t="s">
        <x:v>48</x:v>
      </x:c>
      <x:c r="D15" s="90" t="str">
        <x:v>Quotation No: @@QuotationCode was approved by @@ModifiedBy</x:v>
      </x:c>
      <x:c r="E15" s="91" t="str">
        <x:v>The quotation was approved and is pending your action. Please review the quotation details and continue processing.</x:v>
      </x:c>
      <x:c r="F15" s="12" t="s">
        <x:v>49</x:v>
      </x:c>
    </x:row>
    <x:row r="16" ht="60" customHeight="1">
      <x:c r="A16" s="5" t="s">
        <x:v>50</x:v>
      </x:c>
      <x:c r="B16" s="6" t="s">
        <x:v>33</x:v>
      </x:c>
      <x:c r="C16" s="7" t="s">
        <x:v>51</x:v>
      </x:c>
      <x:c r="D16" s="90" t="str">
        <x:v>Quotation No: @@QuotationCode was declined by @@ModifiedBy</x:v>
      </x:c>
      <x:c r="E16" s="91" t="str">
        <x:v>The quotation was declined and is pending your action. Please review the decision and comments.</x:v>
      </x:c>
      <x:c r="F16" s="8" t="s">
        <x:v>49</x:v>
      </x:c>
    </x:row>
    <x:row r="17" ht="60" customHeight="1">
      <x:c r="A17" s="9" t="s">
        <x:v>52</x:v>
      </x:c>
      <x:c r="B17" s="10" t="s">
        <x:v>37</x:v>
      </x:c>
      <x:c r="C17" s="11" t="s">
        <x:v>53</x:v>
      </x:c>
      <x:c r="D17" s="90" t="str">
        <x:v>Exceeding SLA - @@PolicyIssuanceCode</x:v>
      </x:c>
      <x:c r="E17" s="91" t="str">
        <x:v>The Policy Issuance request has exceeded its SLA and is pending your action. Please review and process the request.</x:v>
      </x:c>
      <x:c r="F17" s="12" t="s">
        <x:v>54</x:v>
      </x:c>
    </x:row>
    <x:row r="18" ht="60" customHeight="1">
      <x:c r="A18" s="5" t="s">
        <x:v>55</x:v>
      </x:c>
      <x:c r="B18" s="6" t="s">
        <x:v>33</x:v>
      </x:c>
      <x:c r="C18" s="7" t="s">
        <x:v>56</x:v>
      </x:c>
      <x:c r="D18" s="98" t="str">
        <x:v>Client Accepted {0} {1}</x:v>
      </x:c>
      <x:c r="E18" s="99" t="str">
        <x:v>The client has accepted the quotation. Please continue with the next business step.</x:v>
      </x:c>
      <x:c r="F18" s="8"/>
    </x:row>
    <x:row r="19" ht="60" customHeight="1">
      <x:c r="A19" s="9" t="s">
        <x:v>57</x:v>
      </x:c>
      <x:c r="B19" s="10" t="s">
        <x:v>33</x:v>
      </x:c>
      <x:c r="C19" s="11" t="s">
        <x:v>58</x:v>
      </x:c>
      <x:c r="D19" s="90" t="str">
        <x:v>Client Denied {0} {1}</x:v>
      </x:c>
      <x:c r="E19" s="91" t="str">
        <x:v>The client has declined the quotation. Please review the client response and take the appropriate next action.</x:v>
      </x:c>
      <x:c r="F19" s="12"/>
    </x:row>
    <x:row r="20" ht="60" customHeight="1">
      <x:c r="A20" s="5" t="s">
        <x:v>59</x:v>
      </x:c>
      <x:c r="B20" s="6" t="s">
        <x:v>37</x:v>
      </x:c>
      <x:c r="C20" s="7" t="s">
        <x:v>60</x:v>
      </x:c>
      <x:c r="D20" s="90" t="str">
        <x:v>New comment</x:v>
      </x:c>
      <x:c r="E20" s="91" t="str">
        <x:v>{0} commented on your {1} {2}</x:v>
      </x:c>
      <x:c r="F20" s="8"/>
    </x:row>
    <x:row r="21" ht="60" customHeight="1">
      <x:c r="A21" s="13" t="s">
        <x:v>61</x:v>
      </x:c>
      <x:c r="B21" s="14" t="s">
        <x:v>40</x:v>
      </x:c>
      <x:c r="C21" s="15" t="s">
        <x:v>62</x:v>
      </x:c>
      <x:c r="D21" s="106" t="str">
        <x:v>{{Subject}} - @@PolicyIssuanceCode</x:v>
      </x:c>
      <x:c r="E21" s="107" t="str">
        <x:v>New Policy Issuance @@PolicyIssuanceCode has been initialized.</x:v>
      </x:c>
      <x:c r="F21" s="8" t="s">
        <x:v>63</x:v>
      </x:c>
    </x:row>
    <x:row r="22" ht="60" hidden="0" customHeight="1">
      <x:c r="A22" s="60" t="str">
        <x:v>TS trả báo giá về FO</x:v>
      </x:c>
      <x:c r="B22" s="60" t="str">
        <x:v>Quotation</x:v>
      </x:c>
      <x:c r="C22" s="61" t="str">
        <x:v>QuotationReturnNotification</x:v>
      </x:c>
      <x:c r="D22" s="83" t="str">
        <x:v>Quotation @@QuotationCode was returned to FO</x:v>
      </x:c>
      <x:c r="E22" s="83" t="str">
        <x:v>The Technical Survey task was returned to FO by @@ModifiedBy.
&lt;&lt;comment&gt;&gt;</x:v>
      </x:c>
      <x:c r="F22" s="60" t="str">
        <x:v>Bổ sung theo BRD</x:v>
      </x:c>
    </x:row>
    <x:row r="23" ht="60" hidden="0" customHeight="1">
      <x:c r="A23" s="60" t="str">
        <x:v>Chỉnh sửa và gửi lại báo giá</x:v>
      </x:c>
      <x:c r="B23" s="60" t="str">
        <x:v>Quotation</x:v>
      </x:c>
      <x:c r="C23" s="61" t="str">
        <x:v>QuotationReviseNotification</x:v>
      </x:c>
      <x:c r="D23" s="83" t="str">
        <x:v>Quotation @@QuotationCode was revised and resubmitted</x:v>
      </x:c>
      <x:c r="E23" s="83" t="str">
        <x:v>The quotation was revised and resubmitted by @@ModifiedBy.
&lt;&lt;comment&gt;&gt;</x:v>
      </x:c>
      <x:c r="F23" s="60" t="str">
        <x:v>Bổ sung theo BRD</x:v>
      </x:c>
    </x:row>
    <x:row r="24" ht="60" hidden="0" customHeight="1">
      <x:c r="A24" s="60" t="str">
        <x:v>UW yêu cầu bổ sung thông tin</x:v>
      </x:c>
      <x:c r="B24" s="60" t="str">
        <x:v>Quotation</x:v>
      </x:c>
      <x:c r="C24" s="61" t="str">
        <x:v>UWNeedMoreInfoNotification</x:v>
      </x:c>
      <x:c r="D24" s="83" t="str">
        <x:v>Additional information required for Quotation @@QuotationCode</x:v>
      </x:c>
      <x:c r="E24" s="83" t="str">
        <x:v>Underwriting requires additional information for this quotation.
&lt;&lt;comment&gt;&gt;</x:v>
      </x:c>
      <x:c r="F24" s="60" t="str">
        <x:v>Bổ sung theo BRD</x:v>
      </x:c>
    </x:row>
    <x:row r="25" ht="60" hidden="0" customHeight="1">
      <x:c r="A25" s="60" t="str">
        <x:v>UW trả báo giá về FO</x:v>
      </x:c>
      <x:c r="B25" s="60" t="str">
        <x:v>Quotation</x:v>
      </x:c>
      <x:c r="C25" s="61" t="str">
        <x:v>UWReturnNotification</x:v>
      </x:c>
      <x:c r="D25" s="83" t="str">
        <x:v>Quotation @@QuotationCode was returned by UW</x:v>
      </x:c>
      <x:c r="E25" s="83" t="str">
        <x:v>Underwriting returned the quotation to FO for revision.
&lt;&lt;comment&gt;&gt;</x:v>
      </x:c>
      <x:c r="F25" s="60" t="str">
        <x:v>Bổ sung theo BRD</x:v>
      </x:c>
    </x:row>
    <x:row r="26" ht="60" hidden="0" customHeight="1">
      <x:c r="A26" s="60" t="str">
        <x:v>MKT MGR trả báo giá về FO</x:v>
      </x:c>
      <x:c r="B26" s="60" t="str">
        <x:v>Quotation</x:v>
      </x:c>
      <x:c r="C26" s="61" t="str">
        <x:v>ManagerReturnNotification</x:v>
      </x:c>
      <x:c r="D26" s="83" t="str">
        <x:v>Quotation @@QuotationCode was returned for revision</x:v>
      </x:c>
      <x:c r="E26" s="83" t="str">
        <x:v>MKT/MGR returned the quotation to FO for revision.
&lt;&lt;comment&gt;&gt;</x:v>
      </x:c>
      <x:c r="F26" s="60" t="str">
        <x:v>Bổ sung theo BRD</x:v>
      </x:c>
    </x:row>
    <x:row r="27" ht="60" hidden="0" customHeight="1">
      <x:c r="A27" s="60" t="str">
        <x:v>Báo giá cần ký lại sau revise</x:v>
      </x:c>
      <x:c r="B27" s="60" t="str">
        <x:v>Quotation</x:v>
      </x:c>
      <x:c r="C27" s="61" t="str">
        <x:v>QuotationReSignNotification</x:v>
      </x:c>
      <x:c r="D27" s="83" t="str">
        <x:v>Quotation @@QuotationCode requires re-signing</x:v>
      </x:c>
      <x:c r="E27" s="83" t="str">
        <x:v>The revised quotation requires a new signature. Please review the latest version.</x:v>
      </x:c>
      <x:c r="F27" s="60" t="str">
        <x:v>Bổ sung theo BRD</x:v>
      </x:c>
    </x:row>
    <x:row r="28" ht="60" hidden="0" customHeight="1">
      <x:c r="A28" s="60" t="str">
        <x:v>Hủy báo giá</x:v>
      </x:c>
      <x:c r="B28" s="60" t="str">
        <x:v>Quotation</x:v>
      </x:c>
      <x:c r="C28" s="61" t="str">
        <x:v>QuotationCancelNotification</x:v>
      </x:c>
      <x:c r="D28" s="83" t="str">
        <x:v>Quotation @@QuotationCode was cancelled</x:v>
      </x:c>
      <x:c r="E28" s="83" t="str">
        <x:v>The quotation was cancelled by @@ModifiedBy.
&lt;&lt;comment&gt;&gt;</x:v>
      </x:c>
      <x:c r="F28" s="60" t="str">
        <x:v>Bổ sung theo BRD</x:v>
      </x:c>
    </x:row>
    <x:row r="29" ht="60" hidden="0" customHeight="1">
      <x:c r="A29" s="60" t="str">
        <x:v>Giao cấp đơn cho TS</x:v>
      </x:c>
      <x:c r="B29" s="60" t="str">
        <x:v>Policy Issuance</x:v>
      </x:c>
      <x:c r="C29" s="61" t="str">
        <x:v>PolicyAssignTSNotification</x:v>
      </x:c>
      <x:c r="D29" s="83" t="str">
        <x:v>Policy Issuance @@PolicyIssuanceCode was assigned to TS</x:v>
      </x:c>
      <x:c r="E29" s="83" t="str">
        <x:v>FO assigned the Policy Issuance request to TS. Please review and process the request.</x:v>
      </x:c>
      <x:c r="F29" s="60" t="str">
        <x:v>Bổ sung theo BRD</x:v>
      </x:c>
    </x:row>
    <x:row r="30" ht="60" hidden="0" customHeight="1">
      <x:c r="A30" s="60" t="str">
        <x:v>Bỏ qua TS và gửi PM</x:v>
      </x:c>
      <x:c r="B30" s="60" t="str">
        <x:v>Policy Issuance</x:v>
      </x:c>
      <x:c r="C30" s="61" t="str">
        <x:v>PolicySubmitPMNotification</x:v>
      </x:c>
      <x:c r="D30" s="83" t="str">
        <x:v>Policy Issuance @@PolicyIssuanceCode was sent to PM</x:v>
      </x:c>
      <x:c r="E30" s="83" t="str">
        <x:v>FO sent the Policy Issuance request directly to PM. Please review and process the request.</x:v>
      </x:c>
      <x:c r="F30" s="60" t="str">
        <x:v>Bổ sung theo BRD</x:v>
      </x:c>
    </x:row>
    <x:row r="31" ht="60" hidden="0" customHeight="1">
      <x:c r="A31" s="60" t="str">
        <x:v>TS chuyển cấp đơn sang PM</x:v>
      </x:c>
      <x:c r="B31" s="60" t="str">
        <x:v>Policy Issuance</x:v>
      </x:c>
      <x:c r="C31" s="61" t="str">
        <x:v>PolicyTSSubmitPMNotification</x:v>
      </x:c>
      <x:c r="D31" s="83" t="str">
        <x:v>Policy Issuance @@PolicyIssuanceCode was forwarded to PM</x:v>
      </x:c>
      <x:c r="E31" s="83" t="str">
        <x:v>TS forwarded the Policy Issuance request to PM. Please review and process the request.</x:v>
      </x:c>
      <x:c r="F31" s="60" t="str">
        <x:v>Bổ sung theo BRD</x:v>
      </x:c>
    </x:row>
    <x:row r="32" ht="60" hidden="0" customHeight="1">
      <x:c r="A32" s="60" t="str">
        <x:v>PM trả cấp đơn về FO</x:v>
      </x:c>
      <x:c r="B32" s="60" t="str">
        <x:v>Policy Issuance</x:v>
      </x:c>
      <x:c r="C32" s="61" t="str">
        <x:v>PolicyReturnFONotification</x:v>
      </x:c>
      <x:c r="D32" s="83" t="str">
        <x:v>Policy Issuance @@PolicyIssuanceCode was returned to FO</x:v>
      </x:c>
      <x:c r="E32" s="83" t="str">
        <x:v>PM returned the Policy Issuance request to FO for revision.
&lt;&lt;comment&gt;&gt;</x:v>
      </x:c>
      <x:c r="F32" s="60" t="str">
        <x:v>Bổ sung theo BRD</x:v>
      </x:c>
    </x:row>
    <x:row r="33" ht="60" hidden="0" customHeight="1">
      <x:c r="A33" s="60" t="str">
        <x:v>PM trả cấp đơn về TS</x:v>
      </x:c>
      <x:c r="B33" s="60" t="str">
        <x:v>Policy Issuance</x:v>
      </x:c>
      <x:c r="C33" s="61" t="str">
        <x:v>PolicyReturnTSNotification</x:v>
      </x:c>
      <x:c r="D33" s="83" t="str">
        <x:v>Policy Issuance @@PolicyIssuanceCode was returned to TS</x:v>
      </x:c>
      <x:c r="E33" s="83" t="str">
        <x:v>PM returned the Policy Issuance request to TS for revision.
&lt;&lt;comment&gt;&gt;</x:v>
      </x:c>
      <x:c r="F33" s="60" t="str">
        <x:v>Bổ sung theo BRD</x:v>
      </x:c>
    </x:row>
    <x:row r="34" ht="60" hidden="0" customHeight="1">
      <x:c r="A34" s="60" t="str">
        <x:v>Chỉnh sửa và gửi lại cấp đơn</x:v>
      </x:c>
      <x:c r="B34" s="60" t="str">
        <x:v>Policy Issuance</x:v>
      </x:c>
      <x:c r="C34" s="61" t="str">
        <x:v>PolicyReviseNotification</x:v>
      </x:c>
      <x:c r="D34" s="83" t="str">
        <x:v>Policy Issuance @@PolicyIssuanceCode was revised and resubmitted</x:v>
      </x:c>
      <x:c r="E34" s="83" t="str">
        <x:v>FO/TS revised and resubmitted the Policy Issuance request to PM.
&lt;&lt;comment&gt;&gt;</x:v>
      </x:c>
      <x:c r="F34" s="60" t="str">
        <x:v>Bổ sung theo BRD</x:v>
      </x:c>
    </x:row>
    <x:row r="35" ht="60" hidden="0" customHeight="1">
      <x:c r="A35" s="60" t="str">
        <x:v>Thu hồi cấp đơn</x:v>
      </x:c>
      <x:c r="B35" s="60" t="str">
        <x:v>Policy Issuance</x:v>
      </x:c>
      <x:c r="C35" s="61" t="str">
        <x:v>PolicyWithdrawNotification</x:v>
      </x:c>
      <x:c r="D35" s="83" t="str">
        <x:v>Policy Issuance @@PolicyIssuanceCode was withdrawn</x:v>
      </x:c>
      <x:c r="E35" s="83" t="str">
        <x:v>The Policy Issuance request was withdrawn by @@ModifiedBy.
&lt;&lt;comment&gt;&gt;</x:v>
      </x:c>
      <x:c r="F35" s="60" t="str">
        <x:v>Bổ sung theo BRD</x:v>
      </x:c>
    </x:row>
    <x:row r="36" ht="60" hidden="0" customHeight="1">
      <x:c r="A36" s="60" t="str">
        <x:v>Hủy cấp đơn</x:v>
      </x:c>
      <x:c r="B36" s="60" t="str">
        <x:v>Policy Issuance</x:v>
      </x:c>
      <x:c r="C36" s="61" t="str">
        <x:v>PolicyCancelNotification</x:v>
      </x:c>
      <x:c r="D36" s="83" t="str">
        <x:v>Policy Issuance @@PolicyIssuanceCode was cancelled</x:v>
      </x:c>
      <x:c r="E36" s="83" t="str">
        <x:v>The Policy Issuance request was cancelled by @@ModifiedBy.
&lt;&lt;comment&gt;&gt;</x:v>
      </x:c>
      <x:c r="F36" s="60" t="str">
        <x:v>Bổ sung theo BRD</x:v>
      </x:c>
    </x:row>
    <x:row r="37" ht="60" hidden="0" customHeight="1">
      <x:c r="A37" s="60" t="str">
        <x:v>Hoàn tất cấp đơn</x:v>
      </x:c>
      <x:c r="B37" s="60" t="str">
        <x:v>Policy Issuance</x:v>
      </x:c>
      <x:c r="C37" s="61" t="str">
        <x:v>PolicyIssuedNotification</x:v>
      </x:c>
      <x:c r="D37" s="83" t="str">
        <x:v>Policy Issuance @@PolicyIssuanceCode was completed</x:v>
      </x:c>
      <x:c r="E37" s="83" t="str">
        <x:v>The Policy Issuance request has been completed successfully.</x:v>
      </x:c>
      <x:c r="F37" s="60" t="str">
        <x:v>Bổ sung theo BRD</x:v>
      </x:c>
    </x:row>
    <x:row r="38" ht="60" hidden="0" customHeight="1">
      <x:c r="A38" s="60" t="str">
        <x:v>Nhận đủ chứng từ follow up</x:v>
      </x:c>
      <x:c r="B38" s="60" t="str">
        <x:v>Policy Issuance</x:v>
      </x:c>
      <x:c r="C38" s="61" t="str">
        <x:v>FollowUpCompletedNotification</x:v>
      </x:c>
      <x:c r="D38" s="83" t="str">
        <x:v>Follow-up documents received for @@PolicyIssuanceCode</x:v>
      </x:c>
      <x:c r="E38" s="83" t="str">
        <x:v>All required follow-up documents have been received. Please verify the documents and continue processing.</x:v>
      </x:c>
      <x:c r="F38" s="60" t="str">
        <x:v>Bổ sung theo BRD</x:v>
      </x:c>
    </x:row>
    <x:row r="39" ht="60" hidden="0" customHeight="1">
      <x:c r="A39" s="60" t="str">
        <x:v>Đồng bộ Policy No thất bại</x:v>
      </x:c>
      <x:c r="B39" s="60" t="str">
        <x:v>Policy Issuance</x:v>
      </x:c>
      <x:c r="C39" s="61" t="str">
        <x:v>PolicySyncFailedNotification</x:v>
      </x:c>
      <x:c r="D39" s="83" t="str">
        <x:v>Policy Number synchronization failed for @@PolicyIssuanceCode</x:v>
      </x:c>
      <x:c r="E39" s="83" t="str">
        <x:v>The Policy Number could not be synchronized. Please check the policy data and retry.</x:v>
      </x:c>
      <x:c r="F39" s="60" t="str">
        <x:v>Bổ sung theo BRD</x:v>
      </x:c>
    </x:row>
    <x:row r="40" ht="60" hidden="0" customHeight="1">
      <x:c r="A40" s="60" t="str">
        <x:v>Follow up quá hạn</x:v>
      </x:c>
      <x:c r="B40" s="60" t="str">
        <x:v>Policy Issuance</x:v>
      </x:c>
      <x:c r="C40" s="61" t="str">
        <x:v>PolicyFollowUpReminderNotification</x:v>
      </x:c>
      <x:c r="D40" s="83" t="str">
        <x:v>Follow-up overdue for @@PolicyIssuanceCode</x:v>
      </x:c>
      <x:c r="E40" s="83" t="str">
        <x:v>The follow-up is overdue or signed documents have not been received. Please take action.</x:v>
      </x:c>
      <x:c r="F40" s="60" t="str">
        <x:v>Bổ sung theo BRD</x:v>
      </x:c>
    </x:row>
    <x:row r="41" ht="60" customHeight="1">
      <x:c r="A41" s="112" t="str">
        <x:v>Tạo request báo giá thành công</x:v>
      </x:c>
      <x:c r="B41" s="112" t="str">
        <x:v>Quotation</x:v>
      </x:c>
      <x:c r="C41" s="113" t="str">
        <x:v>QuotationCreateRequestNotification</x:v>
      </x:c>
      <x:c r="D41" s="112" t="str">
        <x:v>Quotation @@QuotationCode was created</x:v>
      </x:c>
      <x:c r="E41" s="112" t="str">
        <x:v>A new quotation request was created successfully by @@ModifiedBy.</x:v>
      </x:c>
      <x:c r="F41" s="112" t="str">
        <x:v>Bổ sung tính năng cơ bản</x:v>
      </x:c>
    </x:row>
    <x:row r="42" ht="60" customHeight="1">
      <x:c r="A42" s="112" t="str">
        <x:v>Tạo request cấp đơn thành công</x:v>
      </x:c>
      <x:c r="B42" s="112" t="str">
        <x:v>Policy Issuance</x:v>
      </x:c>
      <x:c r="C42" s="113" t="str">
        <x:v>PolicyCreateRequestNotification</x:v>
      </x:c>
      <x:c r="D42" s="112" t="str">
        <x:v>Policy Issuance @@PolicyIssuanceCode was created</x:v>
      </x:c>
      <x:c r="E42" s="112" t="str">
        <x:v>A new Policy Issuance request was created successfully by @@ModifiedBy.</x:v>
      </x:c>
      <x:c r="F42" s="112" t="str">
        <x:v>Bổ sung tính năng cơ bản</x:v>
      </x:c>
    </x:row>
    <x:row r="43" ht="60" customHeight="1">
      <x:c r="A43" s="112" t="str">
        <x:v>Validate khi tạo request</x:v>
      </x:c>
      <x:c r="B43" s="112" t="str">
        <x:v>Both</x:v>
      </x:c>
      <x:c r="C43" s="113" t="str">
        <x:v>RequestValidationNotification</x:v>
      </x:c>
      <x:c r="D43" s="112" t="str">
        <x:v>Request information is incomplete</x:v>
      </x:c>
      <x:c r="E43" s="112" t="str">
        <x:v>The request cannot be created because required or invalid data remains. Please correct the highlighted fields.</x:v>
      </x:c>
      <x:c r="F43" s="112" t="str">
        <x:v>Thông báo tại màn hình, không gửi email</x:v>
      </x:c>
    </x:row>
    <x:row r="44" ht="60" customHeight="1">
      <x:c r="A44" s="112" t="str">
        <x:v>Validate trước Submit/Route</x:v>
      </x:c>
      <x:c r="B44" s="112" t="str">
        <x:v>Both</x:v>
      </x:c>
      <x:c r="C44" s="113" t="str">
        <x:v>TransitionValidationNotification</x:v>
      </x:c>
      <x:c r="D44" s="112" t="str">
        <x:v>Request cannot be submitted</x:v>
      </x:c>
      <x:c r="E44" s="112" t="str">
        <x:v>The workflow cannot move to the next step because required or invalid data remains. Please correct the highlighted fields.</x:v>
      </x:c>
      <x:c r="F44" s="112" t="str">
        <x:v>Thông báo tại màn hình, không gửi email</x:v>
      </x:c>
    </x:row>
    <x:row r="45" ht="60" customHeight="1">
      <x:c r="A45" s="112" t="str">
        <x:v>Validate trước Assign/Reassign</x:v>
      </x:c>
      <x:c r="B45" s="112" t="str">
        <x:v>Both</x:v>
      </x:c>
      <x:c r="C45" s="113" t="str">
        <x:v>AssignmentValidationNotification</x:v>
      </x:c>
      <x:c r="D45" s="112" t="str">
        <x:v>PIC assignment is incomplete</x:v>
      </x:c>
      <x:c r="E45" s="112" t="str">
        <x:v>The task cannot be assigned because the PIC or required assignment information is missing or invalid.</x:v>
      </x:c>
      <x:c r="F45" s="112" t="str">
        <x:v>Thông báo tại màn hình, không gửi email</x:v>
      </x:c>
    </x:row>
    <x:row r="46" ht="60" customHeight="1">
      <x:c r="A46" s="112" t="str">
        <x:v>Validate trước Return/Withdraw/Cancel</x:v>
      </x:c>
      <x:c r="B46" s="112" t="str">
        <x:v>Both</x:v>
      </x:c>
      <x:c r="C46" s="113" t="str">
        <x:v>ReverseActionValidationNotification</x:v>
      </x:c>
      <x:c r="D46" s="112" t="str">
        <x:v>Action information is incomplete</x:v>
      </x:c>
      <x:c r="E46" s="112" t="str">
        <x:v>The action cannot be completed because a required reason, comment, or confirmation is missing.</x:v>
      </x:c>
      <x:c r="F46" s="112" t="str">
        <x:v>Thông báo tại màn hình, không gửi email</x:v>
      </x:c>
    </x:row>
    <x:row r="47" ht="60" customHeight="1">
      <x:c r="A47" s="112" t="str">
        <x:v>Assign báo giá cho TS</x:v>
      </x:c>
      <x:c r="B47" s="112" t="str">
        <x:v>Quotation</x:v>
      </x:c>
      <x:c r="C47" s="113" t="str">
        <x:v>QuotationAssignTSNotification</x:v>
      </x:c>
      <x:c r="D47" s="112" t="str">
        <x:v>Quotation @@QuotationCode was assigned to TS</x:v>
      </x:c>
      <x:c r="E47" s="112" t="str">
        <x:v>A quotation task was assigned to Technical Survey by @@ModifiedBy. Please accept and process the task.</x:v>
      </x:c>
      <x:c r="F47" s="112" t="str">
        <x:v>Bổ sung tính năng cơ bản</x:v>
      </x:c>
    </x:row>
    <x:row r="48" ht="60" customHeight="1">
      <x:c r="A48" s="112" t="str">
        <x:v>Assign báo giá cho UW</x:v>
      </x:c>
      <x:c r="B48" s="112" t="str">
        <x:v>Quotation</x:v>
      </x:c>
      <x:c r="C48" s="113" t="str">
        <x:v>QuotationAssignUWNotification</x:v>
      </x:c>
      <x:c r="D48" s="112" t="str">
        <x:v>Quotation @@QuotationCode was assigned to UW</x:v>
      </x:c>
      <x:c r="E48" s="112" t="str">
        <x:v>A quotation task was assigned to Underwriting by @@ModifiedBy. Please accept and process the task.</x:v>
      </x:c>
      <x:c r="F48" s="112" t="str">
        <x:v>Bổ sung tính năng cơ bản</x:v>
      </x:c>
    </x:row>
    <x:row r="49" ht="60" customHeight="1">
      <x:c r="A49" s="112" t="str">
        <x:v>Assign cấp đơn cho PM</x:v>
      </x:c>
      <x:c r="B49" s="112" t="str">
        <x:v>Policy Issuance</x:v>
      </x:c>
      <x:c r="C49" s="113" t="str">
        <x:v>PolicyAssignPMNotification</x:v>
      </x:c>
      <x:c r="D49" s="112" t="str">
        <x:v>Policy Issuance @@PolicyIssuanceCode was assigned to PM</x:v>
      </x:c>
      <x:c r="E49" s="112" t="str">
        <x:v>A Policy Issuance task was assigned to Project Manager by @@ModifiedBy. Please accept and process the task.</x:v>
      </x:c>
      <x:c r="F49" s="112" t="str">
        <x:v>Bổ sung tính năng cơ bản</x:v>
      </x:c>
    </x:row>
    <x:row r="50" ht="60" customHeight="1">
      <x:c r="A50" s="112" t="str">
        <x:v>Reassign tác vụ cho PIC khác</x:v>
      </x:c>
      <x:c r="B50" s="112" t="str">
        <x:v>Both</x:v>
      </x:c>
      <x:c r="C50" s="113" t="str">
        <x:v>ReassignNotification</x:v>
      </x:c>
      <x:c r="D50" s="112" t="str">
        <x:v>Workflow task was reassigned</x:v>
      </x:c>
      <x:c r="E50" s="112" t="str">
        <x:v>The workflow task was reassigned to a new PIC by @@ModifiedBy. The new PIC should accept and continue the task.</x:v>
      </x:c>
      <x:c r="F50" s="112" t="str">
        <x:v>Bổ sung tính năng cơ bản</x:v>
      </x:c>
    </x:row>
  </x:sheetData>
  <x:pageMargins left="0.7" right="0.7" top="0.75" bottom="0.75" header="0.3" footer="0.3"/>
  <x:drawing xmlns:r="http://schemas.openxmlformats.org/officeDocument/2006/relationships" r:id="Rdd240ca98000413a"/>
</x:worksheet>
</file>

<file path=xl/worksheets/sheet3.xml><?xml version="1.0" encoding="utf-8"?>
<x:worksheet xmlns:x="http://schemas.openxmlformats.org/spreadsheetml/2006/main">
  <x:sheetFormatPr defaultRowHeight="14.449999809265137"/>
  <x:cols>
    <x:col min="1" max="1" width="23.7109375" customWidth="1"/>
    <x:col min="2" max="2" width="15.42578125" customWidth="1"/>
    <x:col min="3" max="3" width="27.7109375" customWidth="1"/>
    <x:col min="4" max="4" width="59.7109375" customWidth="1"/>
    <x:col min="5" max="5" width="14.5703125" customWidth="1"/>
    <x:col min="6" max="6" width="63" customWidth="1"/>
  </x:cols>
  <x:sheetData>
    <x:row r="1" ht="15.600000381469727">
      <x:c r="A1" s="30" t="s">
        <x:v>64</x:v>
      </x:c>
      <x:c r="B1" s="39" t="s">
        <x:v>65</x:v>
      </x:c>
      <x:c r="C1" s="39" t="s">
        <x:v>66</x:v>
      </x:c>
      <x:c r="D1" s="40" t="s">
        <x:v>27</x:v>
      </x:c>
      <x:c r="E1" s="40" t="s">
        <x:v>67</x:v>
      </x:c>
      <x:c r="F1" s="41" t="s">
        <x:v>31</x:v>
      </x:c>
    </x:row>
    <x:row r="2" ht="15.600000381469727" hidden="1">
      <x:c r="A2" s="17" t="s">
        <x:v>68</x:v>
      </x:c>
      <x:c r="B2" s="18" t="s">
        <x:v>33</x:v>
      </x:c>
      <x:c r="C2" s="18" t="s">
        <x:v>69</x:v>
      </x:c>
      <x:c r="D2" s="18" t="s">
        <x:v>70</x:v>
      </x:c>
      <x:c r="E2" s="18" t="s">
        <x:v>71</x:v>
      </x:c>
      <x:c r="F2" s="19" t="s">
        <x:v>72</x:v>
      </x:c>
    </x:row>
    <x:row r="3" ht="15.600000381469727" hidden="1">
      <x:c r="A3" s="20" t="s">
        <x:v>73</x:v>
      </x:c>
      <x:c r="B3" s="21" t="s">
        <x:v>33</x:v>
      </x:c>
      <x:c r="C3" s="21" t="s">
        <x:v>74</x:v>
      </x:c>
      <x:c r="D3" s="21" t="s">
        <x:v>75</x:v>
      </x:c>
      <x:c r="E3" s="21" t="s">
        <x:v>76</x:v>
      </x:c>
      <x:c r="F3" s="22" t="s">
        <x:v>72</x:v>
      </x:c>
    </x:row>
    <x:row r="4" ht="15.600000381469727" hidden="1">
      <x:c r="A4" s="17" t="s">
        <x:v>77</x:v>
      </x:c>
      <x:c r="B4" s="18" t="s">
        <x:v>33</x:v>
      </x:c>
      <x:c r="C4" s="18" t="s">
        <x:v>69</x:v>
      </x:c>
      <x:c r="D4" s="18" t="s">
        <x:v>78</x:v>
      </x:c>
      <x:c r="E4" s="18" t="s">
        <x:v>71</x:v>
      </x:c>
      <x:c r="F4" s="19" t="s">
        <x:v>72</x:v>
      </x:c>
    </x:row>
    <x:row r="5" ht="15.600000381469727" hidden="1">
      <x:c r="A5" s="20" t="s">
        <x:v>79</x:v>
      </x:c>
      <x:c r="B5" s="21" t="s">
        <x:v>33</x:v>
      </x:c>
      <x:c r="C5" s="21" t="s">
        <x:v>69</x:v>
      </x:c>
      <x:c r="D5" s="21" t="s">
        <x:v>80</x:v>
      </x:c>
      <x:c r="E5" s="21" t="s">
        <x:v>9</x:v>
      </x:c>
      <x:c r="F5" s="22" t="s">
        <x:v>72</x:v>
      </x:c>
    </x:row>
    <x:row r="6" ht="15.600000381469727" hidden="1">
      <x:c r="A6" s="17" t="s">
        <x:v>81</x:v>
      </x:c>
      <x:c r="B6" s="18" t="s">
        <x:v>33</x:v>
      </x:c>
      <x:c r="C6" s="18" t="s">
        <x:v>69</x:v>
      </x:c>
      <x:c r="D6" s="18" t="s">
        <x:v>82</x:v>
      </x:c>
      <x:c r="E6" s="18" t="s">
        <x:v>9</x:v>
      </x:c>
      <x:c r="F6" s="19" t="s">
        <x:v>72</x:v>
      </x:c>
    </x:row>
    <x:row r="7" ht="15.600000381469727">
      <x:c r="A7" s="20" t="s">
        <x:v>83</x:v>
      </x:c>
      <x:c r="B7" s="21" t="s">
        <x:v>40</x:v>
      </x:c>
      <x:c r="C7" s="21" t="s">
        <x:v>69</x:v>
      </x:c>
      <x:c r="D7" s="21" t="s">
        <x:v>84</x:v>
      </x:c>
      <x:c r="E7" s="21" t="s">
        <x:v>20</x:v>
      </x:c>
      <x:c r="F7" s="22" t="s">
        <x:v>72</x:v>
      </x:c>
    </x:row>
    <x:row r="8" ht="15.600000381469727" hidden="1">
      <x:c r="A8" s="17" t="s">
        <x:v>85</x:v>
      </x:c>
      <x:c r="B8" s="18" t="s">
        <x:v>37</x:v>
      </x:c>
      <x:c r="C8" s="18" t="s">
        <x:v>69</x:v>
      </x:c>
      <x:c r="D8" s="18" t="s">
        <x:v>86</x:v>
      </x:c>
      <x:c r="E8" s="18" t="s">
        <x:v>87</x:v>
      </x:c>
      <x:c r="F8" s="19" t="s">
        <x:v>72</x:v>
      </x:c>
    </x:row>
    <x:row r="9" ht="15.600000381469727" hidden="1">
      <x:c r="A9" s="20" t="s">
        <x:v>88</x:v>
      </x:c>
      <x:c r="B9" s="21" t="s">
        <x:v>37</x:v>
      </x:c>
      <x:c r="C9" s="21" t="s">
        <x:v>69</x:v>
      </x:c>
      <x:c r="D9" s="21" t="s">
        <x:v>89</x:v>
      </x:c>
      <x:c r="E9" s="21" t="s">
        <x:v>9</x:v>
      </x:c>
      <x:c r="F9" s="22" t="s">
        <x:v>72</x:v>
      </x:c>
    </x:row>
    <x:row r="10" ht="15.600000381469727" hidden="1">
      <x:c r="A10" s="17" t="s">
        <x:v>90</x:v>
      </x:c>
      <x:c r="B10" s="18" t="s">
        <x:v>37</x:v>
      </x:c>
      <x:c r="C10" s="18" t="s">
        <x:v>69</x:v>
      </x:c>
      <x:c r="D10" s="18" t="s">
        <x:v>91</x:v>
      </x:c>
      <x:c r="E10" s="18" t="s">
        <x:v>76</x:v>
      </x:c>
      <x:c r="F10" s="19" t="s">
        <x:v>72</x:v>
      </x:c>
    </x:row>
    <x:row r="11" ht="15.600000381469727">
      <x:c r="A11" s="20" t="s">
        <x:v>92</x:v>
      </x:c>
      <x:c r="B11" s="21" t="s">
        <x:v>40</x:v>
      </x:c>
      <x:c r="C11" s="21" t="s">
        <x:v>93</x:v>
      </x:c>
      <x:c r="D11" s="21" t="s">
        <x:v>94</x:v>
      </x:c>
      <x:c r="E11" s="21" t="s">
        <x:v>20</x:v>
      </x:c>
      <x:c r="F11" s="22" t="s">
        <x:v>72</x:v>
      </x:c>
    </x:row>
    <x:row r="12" ht="15.600000381469727" hidden="1">
      <x:c r="A12" s="17" t="s">
        <x:v>95</x:v>
      </x:c>
      <x:c r="B12" s="18" t="s">
        <x:v>37</x:v>
      </x:c>
      <x:c r="C12" s="21" t="s">
        <x:v>93</x:v>
      </x:c>
      <x:c r="D12" s="18" t="s">
        <x:v>96</x:v>
      </x:c>
      <x:c r="E12" s="18" t="s">
        <x:v>87</x:v>
      </x:c>
      <x:c r="F12" s="19" t="s">
        <x:v>72</x:v>
      </x:c>
    </x:row>
    <x:row r="13" ht="15.600000381469727" hidden="1">
      <x:c r="A13" s="20" t="s">
        <x:v>97</x:v>
      </x:c>
      <x:c r="B13" s="21" t="s">
        <x:v>33</x:v>
      </x:c>
      <x:c r="C13" s="21" t="s">
        <x:v>74</x:v>
      </x:c>
      <x:c r="D13" s="21" t="s">
        <x:v>98</x:v>
      </x:c>
      <x:c r="E13" s="21" t="s">
        <x:v>76</x:v>
      </x:c>
      <x:c r="F13" s="22" t="s">
        <x:v>72</x:v>
      </x:c>
    </x:row>
    <x:row r="14" ht="15.600000381469727">
      <x:c r="A14" s="17" t="s">
        <x:v>99</x:v>
      </x:c>
      <x:c r="B14" s="18" t="s">
        <x:v>37</x:v>
      </x:c>
      <x:c r="C14" s="18" t="s">
        <x:v>74</x:v>
      </x:c>
      <x:c r="D14" s="18" t="s">
        <x:v>100</x:v>
      </x:c>
      <x:c r="E14" s="18" t="s">
        <x:v>101</x:v>
      </x:c>
      <x:c r="F14" s="19" t="s">
        <x:v>72</x:v>
      </x:c>
    </x:row>
    <x:row r="15" ht="15.600000381469727" hidden="1">
      <x:c r="A15" s="20" t="s">
        <x:v>102</x:v>
      </x:c>
      <x:c r="B15" s="21" t="s">
        <x:v>33</x:v>
      </x:c>
      <x:c r="C15" s="21" t="s">
        <x:v>69</x:v>
      </x:c>
      <x:c r="D15" s="21" t="s">
        <x:v>103</x:v>
      </x:c>
      <x:c r="E15" s="21" t="s">
        <x:v>9</x:v>
      </x:c>
      <x:c r="F15" s="22" t="s">
        <x:v>104</x:v>
      </x:c>
    </x:row>
    <x:row r="16" ht="15.600000381469727">
      <x:c r="A16" s="17" t="s">
        <x:v>105</x:v>
      </x:c>
      <x:c r="B16" s="18" t="s">
        <x:v>40</x:v>
      </x:c>
      <x:c r="C16" s="18" t="s">
        <x:v>69</x:v>
      </x:c>
      <x:c r="D16" s="18" t="s">
        <x:v>106</x:v>
      </x:c>
      <x:c r="E16" s="18" t="s">
        <x:v>20</x:v>
      </x:c>
      <x:c r="F16" s="19" t="s">
        <x:v>72</x:v>
      </x:c>
    </x:row>
    <x:row r="17" ht="15.600000381469727" hidden="1">
      <x:c r="A17" s="20" t="s">
        <x:v>107</x:v>
      </x:c>
      <x:c r="B17" s="21" t="s">
        <x:v>33</x:v>
      </x:c>
      <x:c r="C17" s="21" t="s">
        <x:v>74</x:v>
      </x:c>
      <x:c r="D17" s="21" t="s">
        <x:v>108</x:v>
      </x:c>
      <x:c r="E17" s="21" t="s">
        <x:v>76</x:v>
      </x:c>
      <x:c r="F17" s="22" t="s">
        <x:v>109</x:v>
      </x:c>
    </x:row>
    <x:row r="18" ht="15.600000381469727" hidden="1">
      <x:c r="A18" s="17" t="s">
        <x:v>110</x:v>
      </x:c>
      <x:c r="B18" s="21" t="s">
        <x:v>33</x:v>
      </x:c>
      <x:c r="C18" s="18" t="s">
        <x:v>93</x:v>
      </x:c>
      <x:c r="D18" s="18" t="s">
        <x:v>111</x:v>
      </x:c>
      <x:c r="E18" s="18" t="s">
        <x:v>9</x:v>
      </x:c>
      <x:c r="F18" s="19" t="s">
        <x:v>72</x:v>
      </x:c>
    </x:row>
    <x:row r="19" ht="15.600000381469727" hidden="1">
      <x:c r="A19" s="20" t="s">
        <x:v>112</x:v>
      </x:c>
      <x:c r="B19" s="21" t="s">
        <x:v>37</x:v>
      </x:c>
      <x:c r="C19" s="21" t="s">
        <x:v>93</x:v>
      </x:c>
      <x:c r="D19" s="21" t="s">
        <x:v>113</x:v>
      </x:c>
      <x:c r="E19" s="21" t="s">
        <x:v>76</x:v>
      </x:c>
      <x:c r="F19" s="22" t="s">
        <x:v>114</x:v>
      </x:c>
    </x:row>
    <x:row r="20" ht="15.600000381469727" hidden="1">
      <x:c r="A20" s="17" t="s">
        <x:v>115</x:v>
      </x:c>
      <x:c r="B20" s="21" t="s">
        <x:v>33</x:v>
      </x:c>
      <x:c r="C20" s="18" t="s">
        <x:v>69</x:v>
      </x:c>
      <x:c r="D20" s="18" t="s">
        <x:v>116</x:v>
      </x:c>
      <x:c r="E20" s="18" t="s">
        <x:v>76</x:v>
      </x:c>
      <x:c r="F20" s="19" t="s">
        <x:v>72</x:v>
      </x:c>
    </x:row>
    <x:row r="21" ht="15.600000381469727">
      <x:c r="A21" s="23" t="s">
        <x:v>117</x:v>
      </x:c>
      <x:c r="B21" s="24" t="s">
        <x:v>40</x:v>
      </x:c>
      <x:c r="C21" s="24" t="s">
        <x:v>74</x:v>
      </x:c>
      <x:c r="D21" s="24" t="s">
        <x:v>118</x:v>
      </x:c>
      <x:c r="E21" s="24" t="s">
        <x:v>20</x:v>
      </x:c>
      <x:c r="F21" s="25" t="s">
        <x:v>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449999809265137"/>
  <x:cols>
    <x:col min="1" max="1" width="16.42578125" customWidth="1"/>
    <x:col min="2" max="19" width="12" customWidth="1"/>
  </x:cols>
  <x:sheetData>
    <x:row r="1" ht="14.449999809265137" customHeight="1">
      <x:c r="A1" s="48" t="s">
        <x:v>119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</x:row>
    <x:row r="2" ht="14.449999809265137" customHeight="1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</x:row>
    <x:row r="3">
      <x:c r="A3" s="49" t="s">
        <x:v>120</x:v>
      </x:c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</x:row>
    <x:row r="5" ht="15" customHeight="1">
      <x:c r="B5" s="50" t="s">
        <x:v>121</x:v>
      </x:c>
      <x:c r="C5" s="50"/>
      <x:c r="D5" s="50"/>
      <x:c r="E5" s="50"/>
      <x:c r="F5" s="50"/>
      <x:c r="G5" s="50"/>
      <x:c r="H5" s="51" t="s">
        <x:v>122</x:v>
      </x:c>
      <x:c r="I5" s="51"/>
      <x:c r="J5" s="51"/>
      <x:c r="K5" s="51"/>
      <x:c r="L5" s="51"/>
      <x:c r="M5" s="51"/>
      <x:c r="N5" s="52" t="s">
        <x:v>123</x:v>
      </x:c>
      <x:c r="O5" s="52"/>
      <x:c r="P5" s="52"/>
      <x:c r="Q5" s="52"/>
      <x:c r="R5" s="52"/>
      <x:c r="S5" s="52"/>
    </x:row>
    <x:row r="7" ht="14.449999809265137" customHeight="1">
      <x:c r="A7" s="53" t="s">
        <x:v>124</x:v>
      </x:c>
      <x:c r="B7" s="45" t="str" cm="1">
        <x:f t="array" ref="B7">_xlfn.TEXTJOIN(CHAR(10),TRUE,"• "&amp;_xlfn._xlws.FILTER(Status!$A$2:$A$198,((Status!$B$2:$B$198="Quotation")+(Status!$B$2:$B$198="Both"))*(Status!$C$2:$C$198="Pending"),""))</x:f>
        <x:v>• TS Pending
• UW Pending
• FO Pending</x:v>
      </x:c>
      <x:c r="C7" s="45"/>
      <x:c r="D7" s="45"/>
      <x:c r="E7" s="45"/>
      <x:c r="F7" s="45"/>
      <x:c r="G7" s="45"/>
      <x:c r="H7" s="46" t="str" cm="1">
        <x:f t="array" ref="H7">_xlfn.TEXTJOIN(CHAR(10),TRUE,"• "&amp;_xlfn._xlws.FILTER(Status!$A$2:$A$198,((Status!$B$2:$B$198="Quotation")+(Status!$B$2:$B$198="Both"))*(Status!$C$2:$C$198="In Progress"),""))</x:f>
        <x:v>• Asking signature
• Signing on system
• No need to refer
• Need more information
• TS Process
• UW Process
• FO Process
• UW Declined
• FO Review</x:v>
      </x:c>
      <x:c r="I7" s="46"/>
      <x:c r="J7" s="46"/>
      <x:c r="K7" s="46"/>
      <x:c r="L7" s="46"/>
      <x:c r="M7" s="46"/>
      <x:c r="N7" s="47" t="str" cm="1">
        <x:f t="array" ref="N7">_xlfn.TEXTJOIN(CHAR(10),TRUE,"• "&amp;_xlfn._xlws.FILTER(Status!$A$2:$A$198,((Status!$B$2:$B$198="Quotation")+(Status!$B$2:$B$198="Both"))*(Status!$C$2:$C$198="Complete"),""))</x:f>
        <x:v>• Quotation confirmed
• Quotation refused
• Cancelled
• Quotation Signed</x:v>
      </x:c>
      <x:c r="O7" s="47"/>
      <x:c r="P7" s="47"/>
      <x:c r="Q7" s="47"/>
      <x:c r="R7" s="47"/>
      <x:c r="S7" s="47"/>
    </x:row>
    <x:row r="8" ht="14.449999809265137" customHeight="1">
      <x:c r="A8" s="53"/>
      <x:c r="B8" s="45"/>
      <x:c r="C8" s="45"/>
      <x:c r="D8" s="45"/>
      <x:c r="E8" s="45"/>
      <x:c r="F8" s="45"/>
      <x:c r="G8" s="45"/>
      <x:c r="H8" s="46"/>
      <x:c r="I8" s="46"/>
      <x:c r="J8" s="46"/>
      <x:c r="K8" s="46"/>
      <x:c r="L8" s="46"/>
      <x:c r="M8" s="46"/>
      <x:c r="N8" s="47"/>
      <x:c r="O8" s="47"/>
      <x:c r="P8" s="47"/>
      <x:c r="Q8" s="47"/>
      <x:c r="R8" s="47"/>
      <x:c r="S8" s="47"/>
    </x:row>
    <x:row r="9" ht="14.449999809265137" customHeight="1">
      <x:c r="A9" s="53"/>
      <x:c r="B9" s="45"/>
      <x:c r="C9" s="45"/>
      <x:c r="D9" s="45"/>
      <x:c r="E9" s="45"/>
      <x:c r="F9" s="45"/>
      <x:c r="G9" s="45"/>
      <x:c r="H9" s="46"/>
      <x:c r="I9" s="46"/>
      <x:c r="J9" s="46"/>
      <x:c r="K9" s="46"/>
      <x:c r="L9" s="46"/>
      <x:c r="M9" s="46"/>
      <x:c r="N9" s="47"/>
      <x:c r="O9" s="47"/>
      <x:c r="P9" s="47"/>
      <x:c r="Q9" s="47"/>
      <x:c r="R9" s="47"/>
      <x:c r="S9" s="47"/>
    </x:row>
    <x:row r="10" ht="14.449999809265137" customHeight="1">
      <x:c r="A10" s="53"/>
      <x:c r="B10" s="45"/>
      <x:c r="C10" s="45"/>
      <x:c r="D10" s="45"/>
      <x:c r="E10" s="45"/>
      <x:c r="F10" s="45"/>
      <x:c r="G10" s="45"/>
      <x:c r="H10" s="46"/>
      <x:c r="I10" s="46"/>
      <x:c r="J10" s="46"/>
      <x:c r="K10" s="46"/>
      <x:c r="L10" s="46"/>
      <x:c r="M10" s="46"/>
      <x:c r="N10" s="47"/>
      <x:c r="O10" s="47"/>
      <x:c r="P10" s="47"/>
      <x:c r="Q10" s="47"/>
      <x:c r="R10" s="47"/>
      <x:c r="S10" s="47"/>
    </x:row>
    <x:row r="11" ht="14.449999809265137" customHeight="1">
      <x:c r="A11" s="53"/>
      <x:c r="B11" s="45"/>
      <x:c r="C11" s="45"/>
      <x:c r="D11" s="45"/>
      <x:c r="E11" s="45"/>
      <x:c r="F11" s="45"/>
      <x:c r="G11" s="45"/>
      <x:c r="H11" s="46"/>
      <x:c r="I11" s="46"/>
      <x:c r="J11" s="46"/>
      <x:c r="K11" s="46"/>
      <x:c r="L11" s="46"/>
      <x:c r="M11" s="46"/>
      <x:c r="N11" s="47"/>
      <x:c r="O11" s="47"/>
      <x:c r="P11" s="47"/>
      <x:c r="Q11" s="47"/>
      <x:c r="R11" s="47"/>
      <x:c r="S11" s="47"/>
    </x:row>
    <x:row r="12" ht="14.449999809265137" customHeight="1">
      <x:c r="A12" s="53"/>
      <x:c r="B12" s="45"/>
      <x:c r="C12" s="45"/>
      <x:c r="D12" s="45"/>
      <x:c r="E12" s="45"/>
      <x:c r="F12" s="45"/>
      <x:c r="G12" s="45"/>
      <x:c r="H12" s="46"/>
      <x:c r="I12" s="46"/>
      <x:c r="J12" s="46"/>
      <x:c r="K12" s="46"/>
      <x:c r="L12" s="46"/>
      <x:c r="M12" s="46"/>
      <x:c r="N12" s="47"/>
      <x:c r="O12" s="47"/>
      <x:c r="P12" s="47"/>
      <x:c r="Q12" s="47"/>
      <x:c r="R12" s="47"/>
      <x:c r="S12" s="47"/>
    </x:row>
    <x:row r="13" ht="14.449999809265137" customHeight="1">
      <x:c r="A13" s="53"/>
      <x:c r="B13" s="45"/>
      <x:c r="C13" s="45"/>
      <x:c r="D13" s="45"/>
      <x:c r="E13" s="45"/>
      <x:c r="F13" s="45"/>
      <x:c r="G13" s="45"/>
      <x:c r="H13" s="46"/>
      <x:c r="I13" s="46"/>
      <x:c r="J13" s="46"/>
      <x:c r="K13" s="46"/>
      <x:c r="L13" s="46"/>
      <x:c r="M13" s="46"/>
      <x:c r="N13" s="47"/>
      <x:c r="O13" s="47"/>
      <x:c r="P13" s="47"/>
      <x:c r="Q13" s="47"/>
      <x:c r="R13" s="47"/>
      <x:c r="S13" s="47"/>
    </x:row>
    <x:row r="14" ht="66" customHeight="1">
      <x:c r="A14" s="53"/>
      <x:c r="B14" s="45"/>
      <x:c r="C14" s="45"/>
      <x:c r="D14" s="45"/>
      <x:c r="E14" s="45"/>
      <x:c r="F14" s="45"/>
      <x:c r="G14" s="45"/>
      <x:c r="H14" s="46"/>
      <x:c r="I14" s="46"/>
      <x:c r="J14" s="46"/>
      <x:c r="K14" s="46"/>
      <x:c r="L14" s="46"/>
      <x:c r="M14" s="46"/>
      <x:c r="N14" s="47"/>
      <x:c r="O14" s="47"/>
      <x:c r="P14" s="47"/>
      <x:c r="Q14" s="47"/>
      <x:c r="R14" s="47"/>
      <x:c r="S14" s="47"/>
    </x:row>
    <x:row r="15">
      <x:c r="A15" s="31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</x:row>
    <x:row r="18" ht="14.449999809265137" customHeight="1">
      <x:c r="A18" s="44" t="s">
        <x:v>125</x:v>
      </x:c>
      <x:c r="B18" s="45" t="str" cm="1">
        <x:f t="array" ref="B18">_xlfn.TEXTJOIN(CHAR(10),TRUE,"• "&amp;_xlfn._xlws.FILTER(Status!$A$2:$A$198,((Status!$B$2:$B$198="Policy Issuance")+(Status!$B$2:$B$198="Both"))*(Status!$C$2:$C$198="Pending"),""))</x:f>
        <x:v>• PM Pending
• TS Pending
• FO Pending</x:v>
      </x:c>
      <x:c r="C18" s="45"/>
      <x:c r="D18" s="45"/>
      <x:c r="E18" s="45"/>
      <x:c r="F18" s="45"/>
      <x:c r="G18" s="45"/>
      <x:c r="H18" s="46" t="str" cm="1">
        <x:f t="array" ref="H18">_xlfn.TEXTJOIN(CHAR(10),TRUE,"• "&amp;_xlfn._xlws.FILTER(Status!$A$2:$A$198,((Status!$B$2:$B$198="Policy Issuance")+(Status!$B$2:$B$198="Both"))*(Status!$C$2:$C$198="In Progress"),""))</x:f>
        <x:v>• Submit but follow up
• TS Process
• UW Process
• FO Process
• PM Process</x:v>
      </x:c>
      <x:c r="I18" s="46"/>
      <x:c r="J18" s="46"/>
      <x:c r="K18" s="46"/>
      <x:c r="L18" s="46"/>
      <x:c r="M18" s="46"/>
      <x:c r="N18" s="47" t="str" cm="1">
        <x:f t="array" ref="N18">_xlfn.TEXTJOIN(CHAR(10),TRUE,"• "&amp;_xlfn._xlws.FILTER(Status!$A$2:$A$198,((Status!$B$2:$B$198="Policy Issuance")+(Status!$B$2:$B$198="Both"))*(Status!$C$2:$C$198="Complete"),""))</x:f>
        <x:v>• Cancelled
• Issued</x:v>
      </x:c>
      <x:c r="O18" s="47"/>
      <x:c r="P18" s="47"/>
      <x:c r="Q18" s="47"/>
      <x:c r="R18" s="47"/>
      <x:c r="S18" s="47"/>
    </x:row>
    <x:row r="19" ht="14.449999809265137" customHeight="1">
      <x:c r="A19" s="44"/>
      <x:c r="B19" s="45"/>
      <x:c r="C19" s="45"/>
      <x:c r="D19" s="45"/>
      <x:c r="E19" s="45"/>
      <x:c r="F19" s="45"/>
      <x:c r="G19" s="45"/>
      <x:c r="H19" s="46"/>
      <x:c r="I19" s="46"/>
      <x:c r="J19" s="46"/>
      <x:c r="K19" s="46"/>
      <x:c r="L19" s="46"/>
      <x:c r="M19" s="46"/>
      <x:c r="N19" s="47"/>
      <x:c r="O19" s="47"/>
      <x:c r="P19" s="47"/>
      <x:c r="Q19" s="47"/>
      <x:c r="R19" s="47"/>
      <x:c r="S19" s="47"/>
    </x:row>
    <x:row r="20" ht="14.449999809265137" customHeight="1">
      <x:c r="A20" s="44"/>
      <x:c r="B20" s="45"/>
      <x:c r="C20" s="45"/>
      <x:c r="D20" s="45"/>
      <x:c r="E20" s="45"/>
      <x:c r="F20" s="45"/>
      <x:c r="G20" s="45"/>
      <x:c r="H20" s="46"/>
      <x:c r="I20" s="46"/>
      <x:c r="J20" s="46"/>
      <x:c r="K20" s="46"/>
      <x:c r="L20" s="46"/>
      <x:c r="M20" s="46"/>
      <x:c r="N20" s="47"/>
      <x:c r="O20" s="47"/>
      <x:c r="P20" s="47"/>
      <x:c r="Q20" s="47"/>
      <x:c r="R20" s="47"/>
      <x:c r="S20" s="47"/>
    </x:row>
    <x:row r="21" ht="14.449999809265137" customHeight="1">
      <x:c r="A21" s="44"/>
      <x:c r="B21" s="45"/>
      <x:c r="C21" s="45"/>
      <x:c r="D21" s="45"/>
      <x:c r="E21" s="45"/>
      <x:c r="F21" s="45"/>
      <x:c r="G21" s="45"/>
      <x:c r="H21" s="46"/>
      <x:c r="I21" s="46"/>
      <x:c r="J21" s="46"/>
      <x:c r="K21" s="46"/>
      <x:c r="L21" s="46"/>
      <x:c r="M21" s="46"/>
      <x:c r="N21" s="47"/>
      <x:c r="O21" s="47"/>
      <x:c r="P21" s="47"/>
      <x:c r="Q21" s="47"/>
      <x:c r="R21" s="47"/>
      <x:c r="S21" s="47"/>
    </x:row>
    <x:row r="22" ht="14.449999809265137" customHeight="1">
      <x:c r="A22" s="44"/>
      <x:c r="B22" s="45"/>
      <x:c r="C22" s="45"/>
      <x:c r="D22" s="45"/>
      <x:c r="E22" s="45"/>
      <x:c r="F22" s="45"/>
      <x:c r="G22" s="45"/>
      <x:c r="H22" s="46"/>
      <x:c r="I22" s="46"/>
      <x:c r="J22" s="46"/>
      <x:c r="K22" s="46"/>
      <x:c r="L22" s="46"/>
      <x:c r="M22" s="46"/>
      <x:c r="N22" s="47"/>
      <x:c r="O22" s="47"/>
      <x:c r="P22" s="47"/>
      <x:c r="Q22" s="47"/>
      <x:c r="R22" s="47"/>
      <x:c r="S22" s="47"/>
    </x:row>
    <x:row r="23" ht="14.449999809265137" customHeight="1">
      <x:c r="A23" s="44"/>
      <x:c r="B23" s="45"/>
      <x:c r="C23" s="45"/>
      <x:c r="D23" s="45"/>
      <x:c r="E23" s="45"/>
      <x:c r="F23" s="45"/>
      <x:c r="G23" s="45"/>
      <x:c r="H23" s="46"/>
      <x:c r="I23" s="46"/>
      <x:c r="J23" s="46"/>
      <x:c r="K23" s="46"/>
      <x:c r="L23" s="46"/>
      <x:c r="M23" s="46"/>
      <x:c r="N23" s="47"/>
      <x:c r="O23" s="47"/>
      <x:c r="P23" s="47"/>
      <x:c r="Q23" s="47"/>
      <x:c r="R23" s="47"/>
      <x:c r="S23" s="47"/>
    </x:row>
    <x:row r="24" ht="14.449999809265137" customHeight="1">
      <x:c r="A24" s="44"/>
      <x:c r="B24" s="45"/>
      <x:c r="C24" s="45"/>
      <x:c r="D24" s="45"/>
      <x:c r="E24" s="45"/>
      <x:c r="F24" s="45"/>
      <x:c r="G24" s="45"/>
      <x:c r="H24" s="46"/>
      <x:c r="I24" s="46"/>
      <x:c r="J24" s="46"/>
      <x:c r="K24" s="46"/>
      <x:c r="L24" s="46"/>
      <x:c r="M24" s="46"/>
      <x:c r="N24" s="47"/>
      <x:c r="O24" s="47"/>
      <x:c r="P24" s="47"/>
      <x:c r="Q24" s="47"/>
      <x:c r="R24" s="47"/>
      <x:c r="S24" s="47"/>
    </x:row>
    <x:row r="25" ht="14.449999809265137" customHeight="1">
      <x:c r="A25" s="44"/>
      <x:c r="B25" s="45"/>
      <x:c r="C25" s="45"/>
      <x:c r="D25" s="45"/>
      <x:c r="E25" s="45"/>
      <x:c r="F25" s="45"/>
      <x:c r="G25" s="45"/>
      <x:c r="H25" s="46"/>
      <x:c r="I25" s="46"/>
      <x:c r="J25" s="46"/>
      <x:c r="K25" s="46"/>
      <x:c r="L25" s="46"/>
      <x:c r="M25" s="46"/>
      <x:c r="N25" s="47"/>
      <x:c r="O25" s="47"/>
      <x:c r="P25" s="47"/>
      <x:c r="Q25" s="47"/>
      <x:c r="R25" s="47"/>
      <x:c r="S25" s="47"/>
    </x:row>
    <x:row r="26">
      <x:c r="A26" s="31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</x:row>
    <x:row r="28">
      <x:c r="B28" s="55" t="s">
        <x:v>126</x:v>
      </x:c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</x:row>
    <x:row r="30">
      <x:c r="A30" s="26" t="s">
        <x:v>127</x:v>
      </x:c>
      <x:c r="B30" s="26"/>
      <x:c r="C30" s="26"/>
    </x:row>
    <x:row r="31">
      <x:c r="A31" t="s">
        <x:v>93</x:v>
      </x:c>
      <x:c r="B31" s="32"/>
      <x:c r="C31" t="s">
        <x:v>128</x:v>
      </x:c>
    </x:row>
    <x:row r="32">
      <x:c r="A32" t="s">
        <x:v>69</x:v>
      </x:c>
      <x:c r="B32" s="33"/>
      <x:c r="C32" t="s">
        <x:v>129</x:v>
      </x:c>
    </x:row>
    <x:row r="33">
      <x:c r="A33" t="s">
        <x:v>74</x:v>
      </x:c>
      <x:c r="B33" s="34"/>
      <x:c r="C33" t="s">
        <x:v>130</x:v>
      </x:c>
    </x:row>
  </x:sheetData>
  <x:mergeCells>
    <x:mergeCell ref="B26:G26"/>
    <x:mergeCell ref="H26:M26"/>
    <x:mergeCell ref="N26:S26"/>
    <x:mergeCell ref="B28:S28"/>
    <x:mergeCell ref="B15:G15"/>
    <x:mergeCell ref="H15:M15"/>
    <x:mergeCell ref="N15:S15"/>
    <x:mergeCell ref="A18:A25"/>
    <x:mergeCell ref="B18:G25"/>
    <x:mergeCell ref="H18:M25"/>
    <x:mergeCell ref="N18:S25"/>
    <x:mergeCell ref="A1:S2"/>
    <x:mergeCell ref="A3:S3"/>
    <x:mergeCell ref="B5:G5"/>
    <x:mergeCell ref="H5:M5"/>
    <x:mergeCell ref="N5:S5"/>
    <x:mergeCell ref="A7:A14"/>
    <x:mergeCell ref="B7:G14"/>
    <x:mergeCell ref="H7:M14"/>
    <x:mergeCell ref="N7:S14"/>
  </x:mergeCells>
  <x:pageMargins left="0.7" right="0.7" top="0.75" bottom="0.75" header="0.3" footer="0.3"/>
</x:worksheet>
</file>